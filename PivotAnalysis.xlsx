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ms-excel.slicerCache+xml" PartName="/xl/slicerCaches/slicerCache1.xml"/>
  <Override ContentType="application/vnd.ms-excel.slicerCache+xml" PartName="/xl/slicerCaches/slicerCache2.xml"/>
  <Override ContentType="application/vnd.ms-excel.slicer+xml" PartName="/xl/slicers/slicer1.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5"/>
    <sheet state="visible" name="Pivot Table Analysis" sheetId="2" r:id="rId6"/>
  </sheets>
  <definedNames>
    <definedName hidden="1" localSheetId="1" name="_xlnm._FilterDatabase">'Pivot Table Analysis'!$A$22:$D$413</definedName>
    <definedName hidden="1" localSheetId="0" name="Z_3FEC46D3_6308_42B6_AD69_24AA1EF6E6C8_.wvu.FilterData">Data!$A$1:$L$501</definedName>
    <definedName name="SlicerCache_Table_1_Col_3">#N/A</definedName>
    <definedName name="SlicerCache_Table_1_Col_4">#N/A</definedName>
  </definedNames>
  <calcPr/>
  <customWorkbookViews>
    <customWorkbookView activeSheetId="0" maximized="1" windowHeight="0" windowWidth="0" guid="{3FEC46D3-6308-42B6-AD69-24AA1EF6E6C8}" name="Filter 1"/>
  </customWorkbookViews>
  <pivotCaches>
    <pivotCache cacheId="0" r:id="rId7"/>
  </pivotCaches>
  <extLst>
    <ext uri="{46BE6895-7355-4a93-B00E-2C351335B9C9}">
      <x15:slicerCaches>
        <x14:slicerCache r:id="rId8"/>
        <x14:slicerCache r:id="rId9"/>
      </x15:slicerCaches>
    </ext>
  </extLst>
</workbook>
</file>

<file path=xl/sharedStrings.xml><?xml version="1.0" encoding="utf-8"?>
<sst xmlns="http://schemas.openxmlformats.org/spreadsheetml/2006/main" count="1953" uniqueCount="421">
  <si>
    <t>Column 1</t>
  </si>
  <si>
    <t>Sale_Date</t>
  </si>
  <si>
    <t>Category</t>
  </si>
  <si>
    <t>Region</t>
  </si>
  <si>
    <t>Quantity</t>
  </si>
  <si>
    <t>Unit_Cost</t>
  </si>
  <si>
    <t>Selling_Price</t>
  </si>
  <si>
    <t>Discount</t>
  </si>
  <si>
    <t>Revenue</t>
  </si>
  <si>
    <t>Cost</t>
  </si>
  <si>
    <t>Profit</t>
  </si>
  <si>
    <t>Profit Margin(%)</t>
  </si>
  <si>
    <t>P0391</t>
  </si>
  <si>
    <t>Furniture</t>
  </si>
  <si>
    <t>West</t>
  </si>
  <si>
    <t>P0013</t>
  </si>
  <si>
    <t>Clothing</t>
  </si>
  <si>
    <t>South</t>
  </si>
  <si>
    <t>P0983</t>
  </si>
  <si>
    <t>North</t>
  </si>
  <si>
    <t>P0104</t>
  </si>
  <si>
    <t>Toys</t>
  </si>
  <si>
    <t>East</t>
  </si>
  <si>
    <t>P0666</t>
  </si>
  <si>
    <t>Books</t>
  </si>
  <si>
    <t>P0537</t>
  </si>
  <si>
    <t>P0177</t>
  </si>
  <si>
    <t>P0291</t>
  </si>
  <si>
    <t>P0734</t>
  </si>
  <si>
    <t>Electronics</t>
  </si>
  <si>
    <t>P0217</t>
  </si>
  <si>
    <t>P0346</t>
  </si>
  <si>
    <t>P0310</t>
  </si>
  <si>
    <t>P0790</t>
  </si>
  <si>
    <t>P0455</t>
  </si>
  <si>
    <t>P0978</t>
  </si>
  <si>
    <t>P0865</t>
  </si>
  <si>
    <t>P0923</t>
  </si>
  <si>
    <t>P0963</t>
  </si>
  <si>
    <t>P0155</t>
  </si>
  <si>
    <t>P0519</t>
  </si>
  <si>
    <t>P0461</t>
  </si>
  <si>
    <t>P0420</t>
  </si>
  <si>
    <t>P0160</t>
  </si>
  <si>
    <t>P0682</t>
  </si>
  <si>
    <t>P0108</t>
  </si>
  <si>
    <t>P0803</t>
  </si>
  <si>
    <t>P0244</t>
  </si>
  <si>
    <t>P0794</t>
  </si>
  <si>
    <t>P0890</t>
  </si>
  <si>
    <t>P0709</t>
  </si>
  <si>
    <t>P0985</t>
  </si>
  <si>
    <t>P0895</t>
  </si>
  <si>
    <t>P0115</t>
  </si>
  <si>
    <t>P0392</t>
  </si>
  <si>
    <t>P0222</t>
  </si>
  <si>
    <t>P0804</t>
  </si>
  <si>
    <t>P0259</t>
  </si>
  <si>
    <t>P0840</t>
  </si>
  <si>
    <t>P0289</t>
  </si>
  <si>
    <t>P0567</t>
  </si>
  <si>
    <t>P0958</t>
  </si>
  <si>
    <t>P0039</t>
  </si>
  <si>
    <t>P0588</t>
  </si>
  <si>
    <t>P0854</t>
  </si>
  <si>
    <t>P0226</t>
  </si>
  <si>
    <t>P0538</t>
  </si>
  <si>
    <t>P0696</t>
  </si>
  <si>
    <t>P0076</t>
  </si>
  <si>
    <t>P0737</t>
  </si>
  <si>
    <t>P0357</t>
  </si>
  <si>
    <t>P0871</t>
  </si>
  <si>
    <t>P0159</t>
  </si>
  <si>
    <t>P0947</t>
  </si>
  <si>
    <t>P0498</t>
  </si>
  <si>
    <t>P0339</t>
  </si>
  <si>
    <t>P0457</t>
  </si>
  <si>
    <t>P0866</t>
  </si>
  <si>
    <t>P0844</t>
  </si>
  <si>
    <t>P0800</t>
  </si>
  <si>
    <t>P0265</t>
  </si>
  <si>
    <t>P0564</t>
  </si>
  <si>
    <t>P0020</t>
  </si>
  <si>
    <t>P0386</t>
  </si>
  <si>
    <t>P0148</t>
  </si>
  <si>
    <t>P0928</t>
  </si>
  <si>
    <t>P0223</t>
  </si>
  <si>
    <t>P0477</t>
  </si>
  <si>
    <t>P0938</t>
  </si>
  <si>
    <t>P0030</t>
  </si>
  <si>
    <t>P0064</t>
  </si>
  <si>
    <t>P0706</t>
  </si>
  <si>
    <t>P0373</t>
  </si>
  <si>
    <t>P0597</t>
  </si>
  <si>
    <t>P0080</t>
  </si>
  <si>
    <t>P0113</t>
  </si>
  <si>
    <t>P0014</t>
  </si>
  <si>
    <t>P0975</t>
  </si>
  <si>
    <t>P0578</t>
  </si>
  <si>
    <t>P0637</t>
  </si>
  <si>
    <t>P0270</t>
  </si>
  <si>
    <t>P0752</t>
  </si>
  <si>
    <t>P0122</t>
  </si>
  <si>
    <t>P0052</t>
  </si>
  <si>
    <t>P0338</t>
  </si>
  <si>
    <t>P0560</t>
  </si>
  <si>
    <t>P0100</t>
  </si>
  <si>
    <t>P0074</t>
  </si>
  <si>
    <t>P0872</t>
  </si>
  <si>
    <t>P0605</t>
  </si>
  <si>
    <t>P0710</t>
  </si>
  <si>
    <t>P0877</t>
  </si>
  <si>
    <t>P0330</t>
  </si>
  <si>
    <t>P0235</t>
  </si>
  <si>
    <t>P0464</t>
  </si>
  <si>
    <t>P0876</t>
  </si>
  <si>
    <t>P0821</t>
  </si>
  <si>
    <t>P0165</t>
  </si>
  <si>
    <t>P0096</t>
  </si>
  <si>
    <t>P0178</t>
  </si>
  <si>
    <t>P0905</t>
  </si>
  <si>
    <t>P0621</t>
  </si>
  <si>
    <t>P0946</t>
  </si>
  <si>
    <t>P0649</t>
  </si>
  <si>
    <t>P0424</t>
  </si>
  <si>
    <t>P0069</t>
  </si>
  <si>
    <t>P0553</t>
  </si>
  <si>
    <t>P0500</t>
  </si>
  <si>
    <t>P0926</t>
  </si>
  <si>
    <t>P0814</t>
  </si>
  <si>
    <t>P0309</t>
  </si>
  <si>
    <t>P0792</t>
  </si>
  <si>
    <t>P0343</t>
  </si>
  <si>
    <t>P0791</t>
  </si>
  <si>
    <t>P0956</t>
  </si>
  <si>
    <t>P0658</t>
  </si>
  <si>
    <t>P0243</t>
  </si>
  <si>
    <t>P0619</t>
  </si>
  <si>
    <t>P0589</t>
  </si>
  <si>
    <t>P0663</t>
  </si>
  <si>
    <t>P0843</t>
  </si>
  <si>
    <t>P0337</t>
  </si>
  <si>
    <t>P0468</t>
  </si>
  <si>
    <t>P0757</t>
  </si>
  <si>
    <t>P0768</t>
  </si>
  <si>
    <t>P0374</t>
  </si>
  <si>
    <t>P0712</t>
  </si>
  <si>
    <t>P0480</t>
  </si>
  <si>
    <t>P0024</t>
  </si>
  <si>
    <t>P0738</t>
  </si>
  <si>
    <t>P0861</t>
  </si>
  <si>
    <t>P0458</t>
  </si>
  <si>
    <t>P0903</t>
  </si>
  <si>
    <t>P0562</t>
  </si>
  <si>
    <t>P0426</t>
  </si>
  <si>
    <t>P0931</t>
  </si>
  <si>
    <t>P0200</t>
  </si>
  <si>
    <t>P0509</t>
  </si>
  <si>
    <t>P0960</t>
  </si>
  <si>
    <t>P0627</t>
  </si>
  <si>
    <t>P0606</t>
  </si>
  <si>
    <t>P0377</t>
  </si>
  <si>
    <t>P0475</t>
  </si>
  <si>
    <t>P0711</t>
  </si>
  <si>
    <t>P0878</t>
  </si>
  <si>
    <t>P0483</t>
  </si>
  <si>
    <t>P0292</t>
  </si>
  <si>
    <t>P0797</t>
  </si>
  <si>
    <t>P0040</t>
  </si>
  <si>
    <t>P0316</t>
  </si>
  <si>
    <t>P0347</t>
  </si>
  <si>
    <t>P0473</t>
  </si>
  <si>
    <t>P0396</t>
  </si>
  <si>
    <t>P0932</t>
  </si>
  <si>
    <t>P0463</t>
  </si>
  <si>
    <t>P0988</t>
  </si>
  <si>
    <t>P0308</t>
  </si>
  <si>
    <t>P0211</t>
  </si>
  <si>
    <t>P0409</t>
  </si>
  <si>
    <t>P0585</t>
  </si>
  <si>
    <t>P0953</t>
  </si>
  <si>
    <t>P0671</t>
  </si>
  <si>
    <t>P0297</t>
  </si>
  <si>
    <t>P0121</t>
  </si>
  <si>
    <t>P0280</t>
  </si>
  <si>
    <t>P0258</t>
  </si>
  <si>
    <t>P0881</t>
  </si>
  <si>
    <t>P0555</t>
  </si>
  <si>
    <t>P0415</t>
  </si>
  <si>
    <t>P0494</t>
  </si>
  <si>
    <t>P0862</t>
  </si>
  <si>
    <t>P0610</t>
  </si>
  <si>
    <t>P0084</t>
  </si>
  <si>
    <t>P0344</t>
  </si>
  <si>
    <t>P0769</t>
  </si>
  <si>
    <t>P0986</t>
  </si>
  <si>
    <t>P0196</t>
  </si>
  <si>
    <t>P0672</t>
  </si>
  <si>
    <t>P0714</t>
  </si>
  <si>
    <t>P0466</t>
  </si>
  <si>
    <t>P0522</t>
  </si>
  <si>
    <t>P0315</t>
  </si>
  <si>
    <t>P0456</t>
  </si>
  <si>
    <t>P0116</t>
  </si>
  <si>
    <t>P0523</t>
  </si>
  <si>
    <t>P0404</t>
  </si>
  <si>
    <t>P0151</t>
  </si>
  <si>
    <t>P0011</t>
  </si>
  <si>
    <t>P0055</t>
  </si>
  <si>
    <t>P0880</t>
  </si>
  <si>
    <t>P0163</t>
  </si>
  <si>
    <t>P0016</t>
  </si>
  <si>
    <t>P0023</t>
  </si>
  <si>
    <t>P0781</t>
  </si>
  <si>
    <t>P0879</t>
  </si>
  <si>
    <t>P0422</t>
  </si>
  <si>
    <t>P0767</t>
  </si>
  <si>
    <t>P0910</t>
  </si>
  <si>
    <t>P0398</t>
  </si>
  <si>
    <t>P0831</t>
  </si>
  <si>
    <t>P0210</t>
  </si>
  <si>
    <t>P0286</t>
  </si>
  <si>
    <t>P0430</t>
  </si>
  <si>
    <t>P0908</t>
  </si>
  <si>
    <t>P0384</t>
  </si>
  <si>
    <t>P0034</t>
  </si>
  <si>
    <t>P0646</t>
  </si>
  <si>
    <t>P0603</t>
  </si>
  <si>
    <t>P0779</t>
  </si>
  <si>
    <t>P0205</t>
  </si>
  <si>
    <t>P0726</t>
  </si>
  <si>
    <t>P0593</t>
  </si>
  <si>
    <t>P0617</t>
  </si>
  <si>
    <t>P0508</t>
  </si>
  <si>
    <t>P0278</t>
  </si>
  <si>
    <t>P0250</t>
  </si>
  <si>
    <t>P0598</t>
  </si>
  <si>
    <t>P0179</t>
  </si>
  <si>
    <t>P0445</t>
  </si>
  <si>
    <t>P0209</t>
  </si>
  <si>
    <t>P0660</t>
  </si>
  <si>
    <t>P0727</t>
  </si>
  <si>
    <t>P0526</t>
  </si>
  <si>
    <t>P0989</t>
  </si>
  <si>
    <t>P0980</t>
  </si>
  <si>
    <t>P0238</t>
  </si>
  <si>
    <t>P0135</t>
  </si>
  <si>
    <t>P0680</t>
  </si>
  <si>
    <t>P0054</t>
  </si>
  <si>
    <t>P0479</t>
  </si>
  <si>
    <t>P0465</t>
  </si>
  <si>
    <t>P0447</t>
  </si>
  <si>
    <t>P0775</t>
  </si>
  <si>
    <t>P0302</t>
  </si>
  <si>
    <t>P0349</t>
  </si>
  <si>
    <t>P0972</t>
  </si>
  <si>
    <t>P0111</t>
  </si>
  <si>
    <t>P0625</t>
  </si>
  <si>
    <t>P0744</t>
  </si>
  <si>
    <t>P0431</t>
  </si>
  <si>
    <t>P0590</t>
  </si>
  <si>
    <t>P0252</t>
  </si>
  <si>
    <t>P0175</t>
  </si>
  <si>
    <t>P0137</t>
  </si>
  <si>
    <t>P0057</t>
  </si>
  <si>
    <t>P0381</t>
  </si>
  <si>
    <t>P0236</t>
  </si>
  <si>
    <t>P0421</t>
  </si>
  <si>
    <t>P0602</t>
  </si>
  <si>
    <t>P0299</t>
  </si>
  <si>
    <t>P0859</t>
  </si>
  <si>
    <t>P0822</t>
  </si>
  <si>
    <t>P0130</t>
  </si>
  <si>
    <t>P0166</t>
  </si>
  <si>
    <t>P0106</t>
  </si>
  <si>
    <t>P0331</t>
  </si>
  <si>
    <t>P0874</t>
  </si>
  <si>
    <t>P0724</t>
  </si>
  <si>
    <t>P0067</t>
  </si>
  <si>
    <t>P0554</t>
  </si>
  <si>
    <t>P0784</t>
  </si>
  <si>
    <t>P0048</t>
  </si>
  <si>
    <t>P0548</t>
  </si>
  <si>
    <t>P0362</t>
  </si>
  <si>
    <t>P0528</t>
  </si>
  <si>
    <t>P0575</t>
  </si>
  <si>
    <t>P0957</t>
  </si>
  <si>
    <t>P0413</t>
  </si>
  <si>
    <t>P0234</t>
  </si>
  <si>
    <t>P0323</t>
  </si>
  <si>
    <t>P0648</t>
  </si>
  <si>
    <t>P0818</t>
  </si>
  <si>
    <t>P0981</t>
  </si>
  <si>
    <t>P0110</t>
  </si>
  <si>
    <t>P0573</t>
  </si>
  <si>
    <t>P0026</t>
  </si>
  <si>
    <t>P0127</t>
  </si>
  <si>
    <t>P0134</t>
  </si>
  <si>
    <t>P0842</t>
  </si>
  <si>
    <t>P0072</t>
  </si>
  <si>
    <t>P0887</t>
  </si>
  <si>
    <t>P0429</t>
  </si>
  <si>
    <t>P0170</t>
  </si>
  <si>
    <t>P0516</t>
  </si>
  <si>
    <t>P0204</t>
  </si>
  <si>
    <t>P0688</t>
  </si>
  <si>
    <t>P0364</t>
  </si>
  <si>
    <t>P0450</t>
  </si>
  <si>
    <t>P0195</t>
  </si>
  <si>
    <t>P0355</t>
  </si>
  <si>
    <t>P0218</t>
  </si>
  <si>
    <t>P0618</t>
  </si>
  <si>
    <t>P0403</t>
  </si>
  <si>
    <t>P0051</t>
  </si>
  <si>
    <t>P0807</t>
  </si>
  <si>
    <t>P0524</t>
  </si>
  <si>
    <t>P0158</t>
  </si>
  <si>
    <t>P0290</t>
  </si>
  <si>
    <t>P0937</t>
  </si>
  <si>
    <t>P0875</t>
  </si>
  <si>
    <t>P0760</t>
  </si>
  <si>
    <t>P0557</t>
  </si>
  <si>
    <t>P0212</t>
  </si>
  <si>
    <t>P0301</t>
  </si>
  <si>
    <t>P0294</t>
  </si>
  <si>
    <t>P0041</t>
  </si>
  <si>
    <t>P0090</t>
  </si>
  <si>
    <t>P0742</t>
  </si>
  <si>
    <t>P0847</t>
  </si>
  <si>
    <t>P0031</t>
  </si>
  <si>
    <t>P0761</t>
  </si>
  <si>
    <t>P0539</t>
  </si>
  <si>
    <t>P0125</t>
  </si>
  <si>
    <t>P0920</t>
  </si>
  <si>
    <t>P0811</t>
  </si>
  <si>
    <t>P0850</t>
  </si>
  <si>
    <t>P0224</t>
  </si>
  <si>
    <t>P0089</t>
  </si>
  <si>
    <t>P0633</t>
  </si>
  <si>
    <t>P0237</t>
  </si>
  <si>
    <t>P0277</t>
  </si>
  <si>
    <t>P0152</t>
  </si>
  <si>
    <t>P0785</t>
  </si>
  <si>
    <t>P0317</t>
  </si>
  <si>
    <t>P0789</t>
  </si>
  <si>
    <t>P0755</t>
  </si>
  <si>
    <t>P0665</t>
  </si>
  <si>
    <t>P0936</t>
  </si>
  <si>
    <t>P0005</t>
  </si>
  <si>
    <t>P0722</t>
  </si>
  <si>
    <t>P0945</t>
  </si>
  <si>
    <t>P0141</t>
  </si>
  <si>
    <t>P0326</t>
  </si>
  <si>
    <t>P0608</t>
  </si>
  <si>
    <t>P0765</t>
  </si>
  <si>
    <t>P0437</t>
  </si>
  <si>
    <t>P0860</t>
  </si>
  <si>
    <t>P0287</t>
  </si>
  <si>
    <t>P0873</t>
  </si>
  <si>
    <t>P0944</t>
  </si>
  <si>
    <t>P0919</t>
  </si>
  <si>
    <t>P0581</t>
  </si>
  <si>
    <t>P0412</t>
  </si>
  <si>
    <t>P0117</t>
  </si>
  <si>
    <t>P0987</t>
  </si>
  <si>
    <t>P0924</t>
  </si>
  <si>
    <t>P0094</t>
  </si>
  <si>
    <t>P0764</t>
  </si>
  <si>
    <t>P0033</t>
  </si>
  <si>
    <t>P0279</t>
  </si>
  <si>
    <t>P0766</t>
  </si>
  <si>
    <t>P0459</t>
  </si>
  <si>
    <t>P0673</t>
  </si>
  <si>
    <t>P0428</t>
  </si>
  <si>
    <t>P0657</t>
  </si>
  <si>
    <t>P0827</t>
  </si>
  <si>
    <t>P0544</t>
  </si>
  <si>
    <t>P0941</t>
  </si>
  <si>
    <t>P0229</t>
  </si>
  <si>
    <t>P0703</t>
  </si>
  <si>
    <t>P0091</t>
  </si>
  <si>
    <t>P0143</t>
  </si>
  <si>
    <t>P0083</t>
  </si>
  <si>
    <t>P0951</t>
  </si>
  <si>
    <t>P0401</t>
  </si>
  <si>
    <t>P0397</t>
  </si>
  <si>
    <t>P0614</t>
  </si>
  <si>
    <t>P0118</t>
  </si>
  <si>
    <t>P0390</t>
  </si>
  <si>
    <t>P0153</t>
  </si>
  <si>
    <t>P0225</t>
  </si>
  <si>
    <t>P0389</t>
  </si>
  <si>
    <t>P0935</t>
  </si>
  <si>
    <t>P0348</t>
  </si>
  <si>
    <t>P0686</t>
  </si>
  <si>
    <t>P0698</t>
  </si>
  <si>
    <t>P0085</t>
  </si>
  <si>
    <t>P0774</t>
  </si>
  <si>
    <t>P0747</t>
  </si>
  <si>
    <t>P0185</t>
  </si>
  <si>
    <t>P0913</t>
  </si>
  <si>
    <t>P0164</t>
  </si>
  <si>
    <t>P0417</t>
  </si>
  <si>
    <t>P0490</t>
  </si>
  <si>
    <t>P0399</t>
  </si>
  <si>
    <t>P0534</t>
  </si>
  <si>
    <t>P0545</t>
  </si>
  <si>
    <t>P0129</t>
  </si>
  <si>
    <t>P0186</t>
  </si>
  <si>
    <t>P0684</t>
  </si>
  <si>
    <t>P0358</t>
  </si>
  <si>
    <t>Pivot Table 1</t>
  </si>
  <si>
    <t>Values</t>
  </si>
  <si>
    <t>Grand Total</t>
  </si>
  <si>
    <t>SUM of Revenue</t>
  </si>
  <si>
    <t>SUM of Profit</t>
  </si>
  <si>
    <t>Pivot Table 2</t>
  </si>
  <si>
    <t>AVERAGE of Discount</t>
  </si>
  <si>
    <t>COUNT of Quantity</t>
  </si>
  <si>
    <t>Top 10 Most Profitable Products</t>
  </si>
  <si>
    <t>Product_ID</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</si>
</sst>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mmm&quot; &quot;d&quot;, &quot;yyyy"/>
    <numFmt numFmtId="165" formatCode="[$Ksh]#,##0"/>
    <numFmt numFmtId="166" formatCode="0.0%"/>
  </numFmts>
  <fonts count="13">
    <font>
      <sz val="10.0"/>
      <color rgb="FF000000"/>
      <name val="Arial"/>
      <scheme val="minor"/>
    </font>
    <font>
      <b/>
      <sz val="14.0"/>
      <color theme="1"/>
      <name val="Calibri"/>
    </font>
    <font>
      <sz val="14.0"/>
      <color theme="1"/>
      <name val="Arial"/>
      <scheme val="minor"/>
    </font>
    <font>
      <sz val="11.0"/>
      <color rgb="FF000000"/>
      <name val="Calibri"/>
    </font>
    <font>
      <b/>
      <sz val="15.0"/>
      <color rgb="FF0000FF"/>
      <name val="Arial"/>
      <scheme val="minor"/>
    </font>
    <font/>
    <font>
      <color theme="1"/>
      <name val="Arial"/>
      <scheme val="minor"/>
    </font>
    <font>
      <b/>
      <color theme="1"/>
      <name val="Arial"/>
      <scheme val="minor"/>
    </font>
    <font>
      <b/>
      <sz val="12.0"/>
      <color theme="1"/>
      <name val="Arial"/>
      <scheme val="minor"/>
    </font>
    <font>
      <sz val="12.0"/>
      <color theme="1"/>
      <name val="Arial"/>
      <scheme val="minor"/>
    </font>
    <font>
      <color rgb="FF0000FF"/>
      <name val="Arial"/>
      <scheme val="minor"/>
    </font>
    <font>
      <b/>
      <sz val="14.0"/>
      <color rgb="FF0000FF"/>
      <name val="Arial"/>
      <scheme val="minor"/>
    </font>
    <font>
      <b/>
      <sz val="13.0"/>
      <color rgb="FF0000FF"/>
      <name val="Arial"/>
      <scheme val="minor"/>
    </font>
  </fonts>
  <fills count="2">
    <fill>
      <patternFill patternType="none"/>
    </fill>
    <fill>
      <patternFill patternType="lightGray"/>
    </fill>
  </fills>
  <borders count="11">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s>
  <cellStyleXfs count="1">
    <xf borderId="0" fillId="0" fontId="0" numFmtId="0" applyAlignment="1" applyFont="1"/>
  </cellStyleXfs>
  <cellXfs count="33">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bottom" wrapText="0"/>
    </xf>
    <xf borderId="1" fillId="0" fontId="1" numFmtId="0" xfId="0" applyAlignment="1" applyBorder="1" applyFont="1">
      <alignment horizontal="left" readingOrder="0" shrinkToFit="0" vertical="bottom" wrapText="0"/>
    </xf>
    <xf borderId="0" fillId="0" fontId="2" numFmtId="0" xfId="0" applyFont="1"/>
    <xf borderId="1" fillId="0" fontId="3" numFmtId="0" xfId="0" applyAlignment="1" applyBorder="1" applyFont="1">
      <alignment readingOrder="0" shrinkToFit="0" vertical="bottom" wrapText="0"/>
    </xf>
    <xf borderId="1" fillId="0" fontId="3" numFmtId="164" xfId="0" applyAlignment="1" applyBorder="1" applyFont="1" applyNumberFormat="1">
      <alignment readingOrder="0" shrinkToFit="0" vertical="bottom" wrapText="0"/>
    </xf>
    <xf borderId="1" fillId="0" fontId="3" numFmtId="0" xfId="0" applyAlignment="1" applyBorder="1" applyFont="1">
      <alignment horizontal="center" readingOrder="0" shrinkToFit="0" vertical="bottom" wrapText="0"/>
    </xf>
    <xf borderId="1" fillId="0" fontId="3" numFmtId="165" xfId="0" applyAlignment="1" applyBorder="1" applyFont="1" applyNumberFormat="1">
      <alignment horizontal="center" readingOrder="0" shrinkToFit="0" vertical="bottom" wrapText="0"/>
    </xf>
    <xf borderId="1" fillId="0" fontId="3" numFmtId="165" xfId="0" applyAlignment="1" applyBorder="1" applyFont="1" applyNumberFormat="1">
      <alignment horizontal="center" readingOrder="0" shrinkToFit="0" vertical="bottom" wrapText="0"/>
    </xf>
    <xf borderId="1" fillId="0" fontId="3" numFmtId="166" xfId="0" applyAlignment="1" applyBorder="1" applyFont="1" applyNumberFormat="1">
      <alignment horizontal="center" readingOrder="0" shrinkToFit="0" vertical="bottom" wrapText="0"/>
    </xf>
    <xf borderId="2" fillId="0" fontId="4" numFmtId="0" xfId="0" applyAlignment="1" applyBorder="1" applyFont="1">
      <alignment horizontal="center" readingOrder="0"/>
    </xf>
    <xf borderId="3" fillId="0" fontId="5" numFmtId="0" xfId="0" applyBorder="1" applyFont="1"/>
    <xf borderId="4" fillId="0" fontId="5" numFmtId="0" xfId="0" applyBorder="1" applyFont="1"/>
    <xf borderId="0" fillId="0" fontId="6" numFmtId="0" xfId="0" applyFont="1"/>
    <xf borderId="0" fillId="0" fontId="7" numFmtId="0" xfId="0" applyFont="1"/>
    <xf borderId="5" fillId="0" fontId="8" numFmtId="0" xfId="0" applyBorder="1" applyFont="1"/>
    <xf borderId="6" fillId="0" fontId="9" numFmtId="0" xfId="0" applyBorder="1" applyFont="1"/>
    <xf borderId="7" fillId="0" fontId="9" numFmtId="0" xfId="0" applyBorder="1" applyFont="1"/>
    <xf borderId="8" fillId="0" fontId="9" numFmtId="0" xfId="0" applyBorder="1" applyFont="1"/>
    <xf borderId="0" fillId="0" fontId="10" numFmtId="0" xfId="0" applyFont="1"/>
    <xf borderId="7" fillId="0" fontId="6" numFmtId="165" xfId="0" applyBorder="1" applyFont="1" applyNumberFormat="1"/>
    <xf borderId="8" fillId="0" fontId="6" numFmtId="165" xfId="0" applyBorder="1" applyFont="1" applyNumberFormat="1"/>
    <xf borderId="9" fillId="0" fontId="6" numFmtId="165" xfId="0" applyBorder="1" applyFont="1" applyNumberFormat="1"/>
    <xf borderId="10" fillId="0" fontId="6" numFmtId="165" xfId="0" applyBorder="1" applyFont="1" applyNumberFormat="1"/>
    <xf borderId="0" fillId="0" fontId="6" numFmtId="165" xfId="0" applyFont="1" applyNumberFormat="1"/>
    <xf borderId="2" fillId="0" fontId="11" numFmtId="0" xfId="0" applyAlignment="1" applyBorder="1" applyFont="1">
      <alignment horizontal="center" readingOrder="0"/>
    </xf>
    <xf borderId="0" fillId="0" fontId="8" numFmtId="0" xfId="0" applyFont="1"/>
    <xf borderId="0" fillId="0" fontId="6" numFmtId="0" xfId="0" applyFont="1"/>
    <xf borderId="2" fillId="0" fontId="12" numFmtId="0" xfId="0" applyAlignment="1" applyBorder="1" applyFont="1">
      <alignment horizontal="center" readingOrder="0"/>
    </xf>
    <xf borderId="1" fillId="0" fontId="8" numFmtId="0" xfId="0" applyAlignment="1" applyBorder="1" applyFont="1">
      <alignment readingOrder="0"/>
    </xf>
    <xf borderId="1" fillId="0" fontId="8" numFmtId="165" xfId="0" applyAlignment="1" applyBorder="1" applyFont="1" applyNumberFormat="1">
      <alignment readingOrder="0"/>
    </xf>
    <xf borderId="1" fillId="0" fontId="6" numFmtId="0" xfId="0" applyBorder="1" applyFont="1"/>
    <xf borderId="1" fillId="0" fontId="6" numFmtId="165" xfId="0" applyBorder="1" applyFont="1" applyNumberFormat="1"/>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Data-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microsoft.com/office/2007/relationships/slicerCache" Target="slicerCaches/slicerCache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pivotCacheDefinition" Target="pivotCache/pivotCacheDefinition1.xml"/><Relationship Id="rId8" Type="http://schemas.microsoft.com/office/2007/relationships/slicerCache" Target="slicerCaches/slicerCache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133350</xdr:colOff>
      <xdr:row>0</xdr:row>
      <xdr:rowOff>0</xdr:rowOff>
    </xdr:from>
    <xdr:ext cx="2028825" cy="2857500"/>
    <mc:AlternateContent>
      <mc:Choice Requires="sle15">
        <xdr:graphicFrame>
          <xdr:nvGraphicFramePr>
            <xdr:cNvPr id="1" name="Region_1"/>
            <xdr:cNvGraphicFramePr/>
          </xdr:nvGraphicFramePr>
          <xdr:xfrm>
            <a:off x="0" y="0"/>
            <a:ext cx="0" cy="0"/>
          </xdr:xfrm>
          <a:graphic>
            <a:graphicData uri="http://schemas.microsoft.com/office/drawing/2010/slicer">
              <x3Unk:slicer name="Region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11</xdr:col>
      <xdr:colOff>133350</xdr:colOff>
      <xdr:row>1</xdr:row>
      <xdr:rowOff>180975</xdr:rowOff>
    </xdr:from>
    <xdr:ext cx="2028825" cy="2857500"/>
    <mc:AlternateContent>
      <mc:Choice Requires="sle15">
        <xdr:graphicFrame>
          <xdr:nvGraphicFramePr>
            <xdr:cNvPr id="2" name="Category_2"/>
            <xdr:cNvGraphicFramePr/>
          </xdr:nvGraphicFramePr>
          <xdr:xfrm>
            <a:off x="0" y="0"/>
            <a:ext cx="0" cy="0"/>
          </xdr:xfrm>
          <a:graphic>
            <a:graphicData uri="http://schemas.microsoft.com/office/drawing/2010/slicer">
              <x3Unk:slicer name="Category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L501" sheet="Data"/>
  </cacheSource>
  <cacheFields>
    <cacheField name="Column 1" numFmtId="0">
      <sharedItems>
        <s v="P0391"/>
        <s v="P0013"/>
        <s v="P0983"/>
        <s v="P0104"/>
        <s v="P0666"/>
        <s v="P0537"/>
        <s v="P0177"/>
        <s v="P0291"/>
        <s v="P0734"/>
        <s v="P0217"/>
        <s v="P0346"/>
        <s v="P0310"/>
        <s v="P0790"/>
        <s v="P0455"/>
        <s v="P0978"/>
        <s v="P0865"/>
        <s v="P0923"/>
        <s v="P0963"/>
        <s v="P0155"/>
        <s v="P0519"/>
        <s v="P0461"/>
        <s v="P0420"/>
        <s v="P0160"/>
        <s v="P0682"/>
        <s v="P0108"/>
        <s v="P0803"/>
        <s v="P0244"/>
        <s v="P0794"/>
        <s v="P0890"/>
        <s v="P0709"/>
        <s v="P0985"/>
        <s v="P0895"/>
        <s v="P0115"/>
        <s v="P0392"/>
        <s v="P0222"/>
        <s v="P0804"/>
        <s v="P0259"/>
        <s v="P0840"/>
        <s v="P0289"/>
        <s v="P0567"/>
        <s v="P0958"/>
        <s v="P0039"/>
        <s v="P0588"/>
        <s v="P0854"/>
        <s v="P0226"/>
        <s v="P0538"/>
        <s v="P0696"/>
        <s v="P0076"/>
        <s v="P0737"/>
        <s v="P0357"/>
        <s v="P0871"/>
        <s v="P0159"/>
        <s v="P0947"/>
        <s v="P0498"/>
        <s v="P0339"/>
        <s v="P0457"/>
        <s v="P0866"/>
        <s v="P0844"/>
        <s v="P0800"/>
        <s v="P0265"/>
        <s v="P0564"/>
        <s v="P0020"/>
        <s v="P0386"/>
        <s v="P0148"/>
        <s v="P0928"/>
        <s v="P0223"/>
        <s v="P0477"/>
        <s v="P0938"/>
        <s v="P0030"/>
        <s v="P0064"/>
        <s v="P0706"/>
        <s v="P0373"/>
        <s v="P0597"/>
        <s v="P0080"/>
        <s v="P0113"/>
        <s v="P0014"/>
        <s v="P0975"/>
        <s v="P0578"/>
        <s v="P0637"/>
        <s v="P0270"/>
        <s v="P0752"/>
        <s v="P0122"/>
        <s v="P0052"/>
        <s v="P0338"/>
        <s v="P0560"/>
        <s v="P0100"/>
        <s v="P0074"/>
        <s v="P0872"/>
        <s v="P0605"/>
        <s v="P0710"/>
        <s v="P0877"/>
        <s v="P0330"/>
        <s v="P0235"/>
        <s v="P0464"/>
        <s v="P0876"/>
        <s v="P0821"/>
        <s v="P0165"/>
        <s v="P0096"/>
        <s v="P0178"/>
        <s v="P0905"/>
        <s v="P0621"/>
        <s v="P0946"/>
        <s v="P0649"/>
        <s v="P0424"/>
        <s v="P0069"/>
        <s v="P0553"/>
        <s v="P0500"/>
        <s v="P0926"/>
        <s v="P0814"/>
        <s v="P0309"/>
        <s v="P0792"/>
        <s v="P0343"/>
        <s v="P0791"/>
        <s v="P0956"/>
        <s v="P0658"/>
        <s v="P0243"/>
        <s v="P0619"/>
        <s v="P0589"/>
        <s v="P0663"/>
        <s v="P0843"/>
        <s v="P0337"/>
        <s v="P0468"/>
        <s v="P0757"/>
        <s v="P0768"/>
        <s v="P0374"/>
        <s v="P0712"/>
        <s v="P0480"/>
        <s v="P0024"/>
        <s v="P0738"/>
        <s v="P0861"/>
        <s v="P0458"/>
        <s v="P0903"/>
        <s v="P0562"/>
        <s v="P0426"/>
        <s v="P0931"/>
        <s v="P0200"/>
        <s v="P0509"/>
        <s v="P0960"/>
        <s v="P0627"/>
        <s v="P0606"/>
        <s v="P0377"/>
        <s v="P0475"/>
        <s v="P0711"/>
        <s v="P0878"/>
        <s v="P0483"/>
        <s v="P0292"/>
        <s v="P0797"/>
        <s v="P0040"/>
        <s v="P0316"/>
        <s v="P0347"/>
        <s v="P0473"/>
        <s v="P0396"/>
        <s v="P0932"/>
        <s v="P0463"/>
        <s v="P0988"/>
        <s v="P0308"/>
        <s v="P0211"/>
        <s v="P0409"/>
        <s v="P0585"/>
        <s v="P0953"/>
        <s v="P0671"/>
        <s v="P0297"/>
        <s v="P0121"/>
        <s v="P0280"/>
        <s v="P0258"/>
        <s v="P0881"/>
        <s v="P0555"/>
        <s v="P0415"/>
        <s v="P0494"/>
        <s v="P0862"/>
        <s v="P0610"/>
        <s v="P0084"/>
        <s v="P0344"/>
        <s v="P0769"/>
        <s v="P0986"/>
        <s v="P0196"/>
        <s v="P0672"/>
        <s v="P0714"/>
        <s v="P0466"/>
        <s v="P0522"/>
        <s v="P0315"/>
        <s v="P0456"/>
        <s v="P0116"/>
        <s v="P0523"/>
        <s v="P0404"/>
        <s v="P0151"/>
        <s v="P0011"/>
        <s v="P0055"/>
        <s v="P0880"/>
        <s v="P0163"/>
        <s v="P0016"/>
        <s v="P0023"/>
        <s v="P0781"/>
        <s v="P0879"/>
        <s v="P0422"/>
        <s v="P0767"/>
        <s v="P0910"/>
        <s v="P0398"/>
        <s v="P0831"/>
        <s v="P0210"/>
        <s v="P0286"/>
        <s v="P0430"/>
        <s v="P0908"/>
        <s v="P0384"/>
        <s v="P0034"/>
        <s v="P0646"/>
        <s v="P0603"/>
        <s v="P0779"/>
        <s v="P0205"/>
        <s v="P0726"/>
        <s v="P0593"/>
        <s v="P0617"/>
        <s v="P0508"/>
        <s v="P0278"/>
        <s v="P0250"/>
        <s v="P0598"/>
        <s v="P0179"/>
        <s v="P0445"/>
        <s v="P0209"/>
        <s v="P0660"/>
        <s v="P0727"/>
        <s v="P0526"/>
        <s v="P0989"/>
        <s v="P0980"/>
        <s v="P0238"/>
        <s v="P0135"/>
        <s v="P0680"/>
        <s v="P0054"/>
        <s v="P0479"/>
        <s v="P0465"/>
        <s v="P0447"/>
        <s v="P0775"/>
        <s v="P0302"/>
        <s v="P0349"/>
        <s v="P0972"/>
        <s v="P0111"/>
        <s v="P0625"/>
        <s v="P0744"/>
        <s v="P0431"/>
        <s v="P0590"/>
        <s v="P0252"/>
        <s v="P0175"/>
        <s v="P0137"/>
        <s v="P0057"/>
        <s v="P0381"/>
        <s v="P0236"/>
        <s v="P0421"/>
        <s v="P0602"/>
        <s v="P0299"/>
        <s v="P0859"/>
        <s v="P0822"/>
        <s v="P0130"/>
        <s v="P0166"/>
        <s v="P0106"/>
        <s v="P0331"/>
        <s v="P0874"/>
        <s v="P0724"/>
        <s v="P0067"/>
        <s v="P0554"/>
        <s v="P0784"/>
        <s v="P0048"/>
        <s v="P0548"/>
        <s v="P0362"/>
        <s v="P0528"/>
        <s v="P0575"/>
        <s v="P0957"/>
        <s v="P0413"/>
        <s v="P0234"/>
        <s v="P0323"/>
        <s v="P0648"/>
        <s v="P0818"/>
        <s v="P0981"/>
        <s v="P0110"/>
        <s v="P0573"/>
        <s v="P0026"/>
        <s v="P0127"/>
        <s v="P0134"/>
        <s v="P0842"/>
        <s v="P0072"/>
        <s v="P0887"/>
        <s v="P0429"/>
        <s v="P0170"/>
        <s v="P0516"/>
        <s v="P0204"/>
        <s v="P0688"/>
        <s v="P0364"/>
        <s v="P0450"/>
        <s v="P0195"/>
        <s v="P0355"/>
        <s v="P0218"/>
        <s v="P0618"/>
        <s v="P0403"/>
        <s v="P0051"/>
        <s v="P0807"/>
        <s v="P0524"/>
        <s v="P0158"/>
        <s v="P0290"/>
        <s v="P0937"/>
        <s v="P0875"/>
        <s v="P0760"/>
        <s v="P0557"/>
        <s v="P0212"/>
        <s v="P0301"/>
        <s v="P0294"/>
        <s v="P0041"/>
        <s v="P0090"/>
        <s v="P0742"/>
        <s v="P0847"/>
        <s v="P0031"/>
        <s v="P0761"/>
        <s v="P0539"/>
        <s v="P0125"/>
        <s v="P0920"/>
        <s v="P0811"/>
        <s v="P0850"/>
        <s v="P0224"/>
        <s v="P0089"/>
        <s v="P0633"/>
        <s v="P0237"/>
        <s v="P0277"/>
        <s v="P0152"/>
        <s v="P0785"/>
        <s v="P0317"/>
        <s v="P0789"/>
        <s v="P0755"/>
        <s v="P0665"/>
        <s v="P0936"/>
        <s v="P0005"/>
        <s v="P0722"/>
        <s v="P0945"/>
        <s v="P0141"/>
        <s v="P0326"/>
        <s v="P0608"/>
        <s v="P0765"/>
        <s v="P0437"/>
        <s v="P0860"/>
        <s v="P0287"/>
        <s v="P0873"/>
        <s v="P0944"/>
        <s v="P0919"/>
        <s v="P0581"/>
        <s v="P0412"/>
        <s v="P0117"/>
        <s v="P0987"/>
        <s v="P0924"/>
        <s v="P0094"/>
        <s v="P0764"/>
        <s v="P0033"/>
        <s v="P0279"/>
        <s v="P0766"/>
        <s v="P0459"/>
        <s v="P0673"/>
        <s v="P0428"/>
        <s v="P0657"/>
        <s v="P0827"/>
        <s v="P0544"/>
        <s v="P0941"/>
        <s v="P0229"/>
        <s v="P0703"/>
        <s v="P0091"/>
        <s v="P0143"/>
        <s v="P0083"/>
        <s v="P0951"/>
        <s v="P0401"/>
        <s v="P0397"/>
        <s v="P0614"/>
        <s v="P0118"/>
        <s v="P0390"/>
        <s v="P0153"/>
        <s v="P0225"/>
        <s v="P0389"/>
        <s v="P0935"/>
        <s v="P0348"/>
        <s v="P0686"/>
        <s v="P0698"/>
        <s v="P0085"/>
        <s v="P0774"/>
        <s v="P0747"/>
        <s v="P0185"/>
        <s v="P0913"/>
        <s v="P0164"/>
        <s v="P0417"/>
        <s v="P0490"/>
        <s v="P0399"/>
        <s v="P0534"/>
        <s v="P0545"/>
        <s v="P0129"/>
        <s v="P0186"/>
        <s v="P0684"/>
        <s v="P0358"/>
      </sharedItems>
    </cacheField>
    <cacheField name="Sale_Date" numFmtId="164">
      <sharedItems containsSemiMixedTypes="0" containsDate="1" containsString="0">
        <d v="2023-08-28T00:00:00Z"/>
        <d v="2023-11-18T00:00:00Z"/>
        <d v="2023-12-24T00:00:00Z"/>
        <d v="2023-06-10T00:00:00Z"/>
        <d v="2023-01-26T00:00:00Z"/>
        <d v="2023-06-03T00:00:00Z"/>
        <d v="2023-12-29T00:00:00Z"/>
        <d v="2023-01-17T00:00:00Z"/>
        <d v="2023-01-27T00:00:00Z"/>
        <d v="2023-10-05T00:00:00Z"/>
        <d v="2023-09-04T00:00:00Z"/>
        <d v="2023-02-24T00:00:00Z"/>
        <d v="2023-08-29T00:00:00Z"/>
        <d v="2023-05-02T00:00:00Z"/>
        <d v="2023-07-21T00:00:00Z"/>
        <d v="2023-03-10T00:00:00Z"/>
        <d v="2023-06-07T00:00:00Z"/>
        <d v="2023-09-13T00:00:00Z"/>
        <d v="2023-10-01T00:00:00Z"/>
        <d v="2023-10-22T00:00:00Z"/>
        <d v="2023-01-06T00:00:00Z"/>
        <d v="2023-10-03T00:00:00Z"/>
        <d v="2023-04-22T00:00:00Z"/>
        <d v="2023-06-27T00:00:00Z"/>
        <d v="2023-12-27T00:00:00Z"/>
        <d v="2023-10-09T00:00:00Z"/>
        <d v="2023-09-24T00:00:00Z"/>
        <d v="2023-02-02T00:00:00Z"/>
        <d v="2023-11-28T00:00:00Z"/>
        <d v="2023-09-14T00:00:00Z"/>
        <d v="2023-05-29T00:00:00Z"/>
        <d v="2023-02-26T00:00:00Z"/>
        <d v="2023-02-08T00:00:00Z"/>
        <d v="2023-09-08T00:00:00Z"/>
        <d v="2023-12-04T00:00:00Z"/>
        <d v="2023-07-16T00:00:00Z"/>
        <d v="2023-08-22T00:00:00Z"/>
        <d v="2023-03-11T00:00:00Z"/>
        <d v="2023-08-18T00:00:00Z"/>
        <d v="2023-07-29T00:00:00Z"/>
        <d v="2023-01-21T00:00:00Z"/>
        <d v="2023-09-06T00:00:00Z"/>
        <d v="2023-05-07T00:00:00Z"/>
        <d v="2023-02-11T00:00:00Z"/>
        <d v="2023-12-14T00:00:00Z"/>
        <d v="2023-05-01T00:00:00Z"/>
        <d v="2023-05-08T00:00:00Z"/>
        <d v="2023-01-20T00:00:00Z"/>
        <d v="2023-01-28T00:00:00Z"/>
        <d v="2023-04-16T00:00:00Z"/>
        <d v="2023-11-06T00:00:00Z"/>
        <d v="2023-11-17T00:00:00Z"/>
        <d v="2023-10-15T00:00:00Z"/>
        <d v="2023-08-17T00:00:00Z"/>
        <d v="2023-05-13T00:00:00Z"/>
        <d v="2023-11-29T00:00:00Z"/>
        <d v="2023-12-03T00:00:00Z"/>
        <d v="2023-07-19T00:00:00Z"/>
        <d v="2023-03-30T00:00:00Z"/>
        <d v="2023-01-02T00:00:00Z"/>
        <d v="2023-07-26T00:00:00Z"/>
        <d v="2023-05-05T00:00:00Z"/>
        <d v="2023-02-15T00:00:00Z"/>
        <d v="2023-11-30T00:00:00Z"/>
        <d v="2023-08-16T00:00:00Z"/>
        <d v="2023-12-19T00:00:00Z"/>
        <d v="2023-05-17T00:00:00Z"/>
        <d v="2023-08-25T00:00:00Z"/>
        <d v="2023-03-17T00:00:00Z"/>
        <d v="2023-01-01T00:00:00Z"/>
        <d v="2023-12-05T00:00:00Z"/>
        <d v="2023-08-08T00:00:00Z"/>
        <d v="2023-03-18T00:00:00Z"/>
        <d v="2023-11-09T00:00:00Z"/>
        <d v="2023-06-26T00:00:00Z"/>
        <d v="2023-04-24T00:00:00Z"/>
        <d v="2023-01-07T00:00:00Z"/>
        <d v="2023-10-12T00:00:00Z"/>
        <d v="2023-12-25T00:00:00Z"/>
        <d v="2023-03-27T00:00:00Z"/>
        <d v="2023-10-27T00:00:00Z"/>
        <d v="2023-10-24T00:00:00Z"/>
        <d v="2023-10-26T00:00:00Z"/>
        <d v="2023-04-26T00:00:00Z"/>
        <d v="2023-04-12T00:00:00Z"/>
        <d v="2023-06-18T00:00:00Z"/>
        <d v="2023-05-19T00:00:00Z"/>
        <d v="2023-06-05T00:00:00Z"/>
        <d v="2023-06-30T00:00:00Z"/>
        <d v="2023-08-07T00:00:00Z"/>
        <d v="2023-08-03T00:00:00Z"/>
        <d v="2023-07-15T00:00:00Z"/>
        <d v="2023-01-16T00:00:00Z"/>
        <d v="2023-06-19T00:00:00Z"/>
        <d v="2023-03-06T00:00:00Z"/>
        <d v="2023-03-23T00:00:00Z"/>
        <d v="2023-05-09T00:00:00Z"/>
        <d v="2023-12-08T00:00:00Z"/>
        <d v="2023-02-10T00:00:00Z"/>
        <d v="2023-07-17T00:00:00Z"/>
        <d v="2023-04-14T00:00:00Z"/>
        <d v="2023-06-12T00:00:00Z"/>
        <d v="2023-02-05T00:00:00Z"/>
        <d v="2023-02-28T00:00:00Z"/>
        <d v="2023-04-19T00:00:00Z"/>
        <d v="2023-04-05T00:00:00Z"/>
        <d v="2023-05-24T00:00:00Z"/>
        <d v="2023-03-20T00:00:00Z"/>
        <d v="2023-08-31T00:00:00Z"/>
        <d v="2023-06-14T00:00:00Z"/>
        <d v="2023-10-04T00:00:00Z"/>
        <d v="2023-03-31T00:00:00Z"/>
        <d v="2023-08-20T00:00:00Z"/>
        <d v="2023-10-06T00:00:00Z"/>
        <d v="2023-09-19T00:00:00Z"/>
        <d v="2023-11-16T00:00:00Z"/>
        <d v="2023-01-18T00:00:00Z"/>
        <d v="2023-02-25T00:00:00Z"/>
        <d v="2023-08-30T00:00:00Z"/>
        <d v="2023-02-17T00:00:00Z"/>
        <d v="2023-09-29T00:00:00Z"/>
        <d v="2023-11-01T00:00:00Z"/>
        <d v="2023-08-21T00:00:00Z"/>
        <d v="2023-06-23T00:00:00Z"/>
        <d v="2023-01-10T00:00:00Z"/>
        <d v="2023-11-27T00:00:00Z"/>
        <d v="2023-09-15T00:00:00Z"/>
        <d v="2023-06-29T00:00:00Z"/>
        <d v="2023-12-21T00:00:00Z"/>
        <d v="2023-09-27T00:00:00Z"/>
        <d v="2023-07-28T00:00:00Z"/>
        <d v="2023-11-05T00:00:00Z"/>
        <d v="2023-04-11T00:00:00Z"/>
        <d v="2023-11-12T00:00:00Z"/>
        <d v="2023-10-18T00:00:00Z"/>
        <d v="2023-12-01T00:00:00Z"/>
        <d v="2023-08-10T00:00:00Z"/>
        <d v="2023-09-25T00:00:00Z"/>
        <d v="2023-03-15T00:00:00Z"/>
        <d v="2023-06-25T00:00:00Z"/>
        <d v="2023-02-07T00:00:00Z"/>
        <d v="2023-08-14T00:00:00Z"/>
        <d v="2023-04-01T00:00:00Z"/>
        <d v="2023-07-13T00:00:00Z"/>
        <d v="2023-07-05T00:00:00Z"/>
        <d v="2023-09-21T00:00:00Z"/>
        <d v="2023-06-28T00:00:00Z"/>
        <d v="2023-12-28T00:00:00Z"/>
        <d v="2023-06-09T00:00:00Z"/>
        <d v="2023-06-11T00:00:00Z"/>
        <d v="2023-03-08T00:00:00Z"/>
        <d v="2023-01-29T00:00:00Z"/>
        <d v="2023-10-07T00:00:00Z"/>
        <d v="2023-12-02T00:00:00Z"/>
        <d v="2023-03-28T00:00:00Z"/>
        <d v="2023-10-20T00:00:00Z"/>
        <d v="2023-06-13T00:00:00Z"/>
        <d v="2023-12-22T00:00:00Z"/>
        <d v="2023-01-19T00:00:00Z"/>
        <d v="2023-12-16T00:00:00Z"/>
        <d v="2023-09-10T00:00:00Z"/>
        <d v="2023-07-09T00:00:00Z"/>
        <d v="2023-07-27T00:00:00Z"/>
        <d v="2023-11-19T00:00:00Z"/>
        <d v="2023-02-12T00:00:00Z"/>
        <d v="2023-01-11T00:00:00Z"/>
        <d v="2023-05-23T00:00:00Z"/>
        <d v="2023-10-29T00:00:00Z"/>
        <d v="2023-05-31T00:00:00Z"/>
        <d v="2023-02-06T00:00:00Z"/>
        <d v="2023-09-28T00:00:00Z"/>
        <d v="2023-09-03T00:00:00Z"/>
        <d v="2023-03-12T00:00:00Z"/>
        <d v="2023-07-08T00:00:00Z"/>
        <d v="2023-07-11T00:00:00Z"/>
        <d v="2023-09-26T00:00:00Z"/>
        <d v="2023-03-05T00:00:00Z"/>
        <d v="2023-12-07T00:00:00Z"/>
        <d v="2023-07-14T00:00:00Z"/>
        <d v="2023-07-23T00:00:00Z"/>
        <d v="2023-08-02T00:00:00Z"/>
        <d v="2023-09-22T00:00:00Z"/>
        <d v="2023-10-30T00:00:00Z"/>
        <d v="2023-04-15T00:00:00Z"/>
        <d v="2023-01-30T00:00:00Z"/>
        <d v="2023-12-10T00:00:00Z"/>
        <d v="2023-11-02T00:00:00Z"/>
        <d v="2023-09-20T00:00:00Z"/>
        <d v="2023-01-03T00:00:00Z"/>
        <d v="2023-02-03T00:00:00Z"/>
        <d v="2023-06-15T00:00:00Z"/>
        <d v="2023-11-13T00:00:00Z"/>
        <d v="2023-08-27T00:00:00Z"/>
        <d v="2023-05-03T00:00:00Z"/>
        <d v="2023-05-28T00:00:00Z"/>
        <d v="2023-12-30T00:00:00Z"/>
        <d v="2023-05-20T00:00:00Z"/>
        <d v="2023-10-23T00:00:00Z"/>
        <d v="2023-08-15T00:00:00Z"/>
        <d v="2023-03-07T00:00:00Z"/>
        <d v="2023-07-22T00:00:00Z"/>
        <d v="2023-02-27T00:00:00Z"/>
        <d v="2023-09-02T00:00:00Z"/>
        <d v="2023-07-01T00:00:00Z"/>
        <d v="2023-04-09T00:00:00Z"/>
        <d v="2023-01-15T00:00:00Z"/>
        <d v="2023-08-06T00:00:00Z"/>
        <d v="2023-01-25T00:00:00Z"/>
        <d v="2023-01-13T00:00:00Z"/>
        <d v="2023-02-20T00:00:00Z"/>
        <d v="2023-10-08T00:00:00Z"/>
        <d v="2023-04-04T00:00:00Z"/>
        <d v="2023-11-23T00:00:00Z"/>
        <d v="2023-06-17T00:00:00Z"/>
        <d v="2023-07-31T00:00:00Z"/>
        <d v="2023-11-14T00:00:00Z"/>
        <d v="2023-07-30T00:00:00Z"/>
        <d v="2023-11-15T00:00:00Z"/>
        <d v="2023-11-22T00:00:00Z"/>
        <d v="2023-05-22T00:00:00Z"/>
        <d v="2023-01-31T00:00:00Z"/>
        <d v="2023-07-02T00:00:00Z"/>
        <d v="2023-11-11T00:00:00Z"/>
        <d v="2023-11-03T00:00:00Z"/>
        <d v="2023-05-04T00:00:00Z"/>
        <d v="2023-11-25T00:00:00Z"/>
        <d v="2023-03-19T00:00:00Z"/>
        <d v="2023-04-25T00:00:00Z"/>
        <d v="2023-08-26T00:00:00Z"/>
        <d v="2023-03-01T00:00:00Z"/>
        <d v="2023-11-07T00:00:00Z"/>
        <d v="2023-07-20T00:00:00Z"/>
        <d v="2023-04-17T00:00:00Z"/>
        <d v="2023-11-04T00:00:00Z"/>
        <d v="2023-09-12T00:00:00Z"/>
        <d v="2023-04-07T00:00:00Z"/>
        <d v="2023-11-26T00:00:00Z"/>
        <d v="2023-10-11T00:00:00Z"/>
        <d v="2023-05-26T00:00:00Z"/>
        <d v="2023-11-10T00:00:00Z"/>
        <d v="2023-10-14T00:00:00Z"/>
        <d v="2023-07-04T00:00:00Z"/>
        <d v="2023-02-01T00:00:00Z"/>
        <d v="2023-07-18T00:00:00Z"/>
        <d v="2023-09-18T00:00:00Z"/>
        <d v="2023-07-06T00:00:00Z"/>
        <d v="2023-03-02T00:00:00Z"/>
        <d v="2023-01-09T00:00:00Z"/>
        <d v="2023-04-08T00:00:00Z"/>
        <d v="2023-02-21T00:00:00Z"/>
        <d v="2023-04-18T00:00:00Z"/>
        <d v="2023-11-08T00:00:00Z"/>
        <d v="2023-04-20T00:00:00Z"/>
        <d v="2023-05-27T00:00:00Z"/>
        <d v="2023-09-17T00:00:00Z"/>
        <d v="2023-06-24T00:00:00Z"/>
        <d v="2023-06-01T00:00:00Z"/>
        <d v="2023-06-21T00:00:00Z"/>
        <d v="2023-09-05T00:00:00Z"/>
        <d v="2023-03-09T00:00:00Z"/>
        <d v="2023-10-19T00:00:00Z"/>
        <d v="2023-09-16T00:00:00Z"/>
        <d v="2023-05-25T00:00:00Z"/>
        <d v="2023-01-04T00:00:00Z"/>
        <d v="2023-04-27T00:00:00Z"/>
      </sharedItems>
    </cacheField>
    <cacheField name="Category" numFmtId="0">
      <sharedItems>
        <s v="Furniture"/>
        <s v="Clothing"/>
        <s v="Toys"/>
        <s v="Books"/>
        <s v="Electronics"/>
      </sharedItems>
    </cacheField>
    <cacheField name="Region" numFmtId="0">
      <sharedItems>
        <s v="West"/>
        <s v="South"/>
        <s v="North"/>
        <s v="East"/>
      </sharedItems>
    </cacheField>
    <cacheField name="Quantity" numFmtId="0">
      <sharedItems containsSemiMixedTypes="0" containsString="0" containsNumber="1" containsInteger="1">
        <n v="75.0"/>
        <n v="96.0"/>
        <n v="24.0"/>
        <n v="87.0"/>
        <n v="11.0"/>
        <n v="78.0"/>
        <n v="7.0"/>
        <n v="61.0"/>
        <n v="71.0"/>
        <n v="33.0"/>
        <n v="51.0"/>
        <n v="63.0"/>
        <n v="13.0"/>
        <n v="29.0"/>
        <n v="77.0"/>
        <n v="38.0"/>
        <n v="19.0"/>
        <n v="59.0"/>
        <n v="16.0"/>
        <n v="42.0"/>
        <n v="2.0"/>
        <n v="60.0"/>
        <n v="45.0"/>
        <n v="21.0"/>
        <n v="52.0"/>
        <n v="41.0"/>
        <n v="84.0"/>
        <n v="81.0"/>
        <n v="66.0"/>
        <n v="62.0"/>
        <n v="99.0"/>
        <n v="47.0"/>
        <n v="10.0"/>
        <n v="48.0"/>
        <n v="76.0"/>
        <n v="91.0"/>
        <n v="36.0"/>
        <n v="97.0"/>
        <n v="25.0"/>
        <n v="8.0"/>
        <n v="79.0"/>
        <n v="74.0"/>
        <n v="88.0"/>
        <n v="90.0"/>
        <n v="30.0"/>
        <n v="98.0"/>
        <n v="40.0"/>
        <n v="12.0"/>
        <n v="14.0"/>
        <n v="94.0"/>
        <n v="22.0"/>
        <n v="68.0"/>
        <n v="64.0"/>
        <n v="18.0"/>
        <n v="85.0"/>
        <n v="70.0"/>
        <n v="44.0"/>
        <n v="73.0"/>
        <n v="100.0"/>
        <n v="35.0"/>
        <n v="17.0"/>
        <n v="23.0"/>
        <n v="56.0"/>
        <n v="92.0"/>
        <n v="1.0"/>
        <n v="49.0"/>
        <n v="69.0"/>
        <n v="20.0"/>
        <n v="67.0"/>
        <n v="27.0"/>
        <n v="15.0"/>
        <n v="89.0"/>
        <n v="93.0"/>
        <n v="32.0"/>
        <n v="55.0"/>
        <n v="5.0"/>
        <n v="53.0"/>
        <n v="28.0"/>
        <n v="46.0"/>
        <n v="37.0"/>
        <n v="9.0"/>
        <n v="80.0"/>
        <n v="4.0"/>
        <n v="58.0"/>
        <n v="95.0"/>
        <n v="54.0"/>
        <n v="26.0"/>
        <n v="82.0"/>
        <n v="6.0"/>
        <n v="50.0"/>
        <n v="72.0"/>
        <n v="83.0"/>
        <n v="57.0"/>
        <n v="86.0"/>
        <n v="65.0"/>
        <n v="31.0"/>
        <n v="3.0"/>
        <n v="43.0"/>
        <n v="39.0"/>
        <n v="34.0"/>
      </sharedItems>
    </cacheField>
    <cacheField name="Unit_Cost" numFmtId="165">
      <sharedItems containsSemiMixedTypes="0" containsString="0" containsNumber="1">
        <n v="12.32"/>
        <n v="10.12"/>
        <n v="16.49"/>
        <n v="26.99"/>
        <n v="27.25"/>
        <n v="20.39"/>
        <n v="22.86"/>
        <n v="23.16"/>
        <n v="6.74"/>
        <n v="16.46"/>
        <n v="43.5"/>
        <n v="20.44"/>
        <n v="12.46"/>
        <n v="10.61"/>
        <n v="43.37"/>
        <n v="38.34"/>
        <n v="29.19"/>
        <n v="43.39"/>
        <n v="32.98"/>
        <n v="26.92"/>
        <n v="17.13"/>
        <n v="51.41"/>
        <n v="36.41"/>
        <n v="55.36"/>
        <n v="41.44"/>
        <n v="43.42"/>
        <n v="25.22"/>
        <n v="78.43"/>
        <n v="51.29"/>
        <n v="78.54"/>
        <n v="51.31"/>
        <n v="9.63"/>
        <n v="47.65"/>
        <n v="44.96"/>
        <n v="36.83"/>
        <n v="63.17"/>
        <n v="42.55"/>
        <n v="97.79"/>
        <n v="75.17"/>
        <n v="63.56"/>
        <n v="16.42"/>
        <n v="60.08"/>
        <n v="40.79"/>
        <n v="50.5"/>
        <n v="100.21"/>
        <n v="54.04"/>
        <n v="87.75"/>
        <n v="25.83"/>
        <n v="63.95"/>
        <n v="64.97"/>
        <n v="148.81"/>
        <n v="83.26"/>
        <n v="120.09"/>
        <n v="20.86"/>
        <n v="37.38"/>
        <n v="134.07"/>
        <n v="56.2"/>
        <n v="26.7"/>
        <n v="71.6"/>
        <n v="143.47"/>
        <n v="114.45"/>
        <n v="95.47"/>
        <n v="75.48"/>
        <n v="100.04"/>
        <n v="111.72"/>
        <n v="156.28"/>
        <n v="61.88"/>
        <n v="128.02"/>
        <n v="101.53"/>
        <n v="194.6"/>
        <n v="117.23"/>
        <n v="120.77"/>
        <n v="89.45"/>
        <n v="134.61"/>
        <n v="65.28"/>
        <n v="138.46"/>
        <n v="109.05"/>
        <n v="141.72"/>
        <n v="157.11"/>
        <n v="112.16"/>
        <n v="87.1"/>
        <n v="59.83"/>
        <n v="125.56"/>
        <n v="63.63"/>
        <n v="160.47"/>
        <n v="98.56"/>
        <n v="168.59"/>
        <n v="122.01"/>
        <n v="197.99"/>
        <n v="142.89"/>
        <n v="117.22"/>
        <n v="41.85"/>
        <n v="137.0"/>
        <n v="205.92"/>
        <n v="162.67"/>
        <n v="83.21"/>
        <n v="105.6"/>
        <n v="65.09"/>
        <n v="44.66"/>
        <n v="225.0"/>
        <n v="191.77"/>
        <n v="229.57"/>
        <n v="157.6"/>
        <n v="87.55"/>
        <n v="169.1"/>
        <n v="228.92"/>
        <n v="198.01"/>
        <n v="160.8"/>
        <n v="183.96"/>
        <n v="158.02"/>
        <n v="274.66"/>
        <n v="73.29"/>
        <n v="210.52"/>
        <n v="286.23"/>
        <n v="204.13"/>
        <n v="201.22"/>
        <n v="80.69"/>
        <n v="205.59"/>
        <n v="107.69"/>
        <n v="93.53"/>
        <n v="130.2"/>
        <n v="50.66"/>
        <n v="294.19"/>
        <n v="69.66"/>
        <n v="330.88"/>
        <n v="56.46"/>
        <n v="92.77"/>
        <n v="288.45"/>
        <n v="252.42"/>
        <n v="209.3"/>
        <n v="91.08"/>
        <n v="328.26"/>
        <n v="179.12"/>
        <n v="196.55"/>
        <n v="134.87"/>
        <n v="225.27"/>
        <n v="311.63"/>
        <n v="275.26"/>
        <n v="191.97"/>
        <n v="124.49"/>
        <n v="211.61"/>
        <n v="274.18"/>
        <n v="330.98"/>
        <n v="101.96"/>
        <n v="53.64"/>
        <n v="238.61"/>
        <n v="371.43"/>
        <n v="175.02"/>
        <n v="266.7"/>
        <n v="75.04"/>
        <n v="285.51"/>
        <n v="216.1"/>
        <n v="262.15"/>
        <n v="258.75"/>
        <n v="251.71"/>
        <n v="169.83"/>
        <n v="295.31"/>
        <n v="223.22"/>
        <n v="334.67"/>
        <n v="103.73"/>
        <n v="323.63"/>
        <n v="357.1"/>
        <n v="211.47"/>
        <n v="312.08"/>
        <n v="350.66"/>
        <n v="231.01"/>
        <n v="233.46"/>
        <n v="251.79"/>
        <n v="357.25"/>
        <n v="326.89"/>
        <n v="377.4"/>
        <n v="184.55"/>
        <n v="414.54"/>
        <n v="268.51"/>
        <n v="234.62"/>
        <n v="238.2"/>
        <n v="192.3"/>
        <n v="267.1"/>
        <n v="355.67"/>
        <n v="461.2"/>
        <n v="158.35"/>
        <n v="427.11"/>
        <n v="75.89"/>
        <n v="233.2"/>
        <n v="343.76"/>
        <n v="451.27"/>
        <n v="186.69"/>
        <n v="190.66"/>
        <n v="266.07"/>
        <n v="382.51"/>
        <n v="466.49"/>
        <n v="441.46"/>
        <n v="389.7"/>
        <n v="67.14"/>
        <n v="257.39"/>
        <n v="143.73"/>
        <n v="67.9"/>
        <n v="367.92"/>
        <n v="251.15"/>
        <n v="440.88"/>
        <n v="140.12"/>
        <n v="223.69"/>
        <n v="195.99"/>
        <n v="348.75"/>
        <n v="405.71"/>
        <n v="336.91"/>
        <n v="283.73"/>
        <n v="81.92"/>
        <n v="366.01"/>
        <n v="446.51"/>
        <n v="454.94"/>
        <n v="329.6"/>
        <n v="220.47"/>
        <n v="161.49"/>
        <n v="333.72"/>
        <n v="146.4"/>
        <n v="381.9"/>
        <n v="450.28"/>
        <n v="431.83"/>
        <n v="319.32"/>
        <n v="265.34"/>
        <n v="372.08"/>
        <n v="273.37"/>
        <n v="428.78"/>
        <n v="330.3"/>
        <n v="309.46"/>
        <n v="374.41"/>
        <n v="268.88"/>
        <n v="111.22"/>
        <n v="437.1"/>
        <n v="196.52"/>
        <n v="372.92"/>
        <n v="498.1"/>
        <n v="53.36"/>
        <n v="453.85"/>
        <n v="238.93"/>
        <n v="230.26"/>
        <n v="100.35"/>
        <n v="372.49"/>
        <n v="424.55"/>
        <n v="380.57"/>
        <n v="321.04"/>
        <n v="301.05"/>
        <n v="278.37"/>
        <n v="351.5"/>
        <n v="200.72"/>
        <n v="363.47"/>
        <n v="230.96"/>
        <n v="88.69"/>
        <n v="333.27"/>
        <n v="222.95"/>
        <n v="427.1"/>
        <n v="356.97"/>
        <n v="367.63"/>
        <n v="412.22"/>
        <n v="294.04"/>
        <n v="399.05"/>
        <n v="422.6"/>
        <n v="457.7"/>
        <n v="316.77"/>
        <n v="393.36"/>
        <n v="481.54"/>
        <n v="93.24"/>
        <n v="340.91"/>
        <n v="204.68"/>
        <n v="465.92"/>
        <n v="145.3"/>
        <n v="384.75"/>
        <n v="152.34"/>
        <n v="119.19"/>
        <n v="494.39"/>
        <n v="360.69"/>
        <n v="333.93"/>
        <n v="392.89"/>
        <n v="399.38"/>
        <n v="201.08"/>
        <n v="335.37"/>
        <n v="392.27"/>
        <n v="451.34"/>
        <n v="90.42"/>
        <n v="197.94"/>
        <n v="134.59"/>
        <n v="393.96"/>
        <n v="56.94"/>
        <n v="356.09"/>
        <n v="249.8"/>
        <n v="445.37"/>
        <n v="428.13"/>
        <n v="443.56"/>
        <n v="488.9"/>
        <n v="451.69"/>
        <n v="355.05"/>
        <n v="130.98"/>
        <n v="406.63"/>
        <n v="481.14"/>
        <n v="402.13"/>
        <n v="452.75"/>
        <n v="408.0"/>
        <n v="475.11"/>
        <n v="236.85"/>
        <n v="369.84"/>
        <n v="196.05"/>
        <n v="318.98"/>
        <n v="426.2"/>
        <n v="432.28"/>
        <n v="315.53"/>
        <n v="464.29"/>
        <n v="322.15"/>
        <n v="384.77"/>
        <n v="471.78"/>
        <n v="190.07"/>
        <n v="297.41"/>
        <n v="159.23"/>
        <n v="250.99"/>
        <n v="455.28"/>
        <n v="452.53"/>
        <n v="364.88"/>
        <n v="245.64"/>
        <n v="410.0"/>
        <n v="158.45"/>
        <n v="289.59"/>
        <n v="457.34"/>
        <n v="244.91"/>
        <n v="485.79"/>
        <n v="460.37"/>
        <n v="144.13"/>
        <n v="97.13"/>
        <n v="305.15"/>
        <n v="386.51"/>
        <n v="462.42"/>
        <n v="472.62"/>
        <n v="317.02"/>
        <n v="425.42"/>
        <n v="417.53"/>
        <n v="144.64"/>
        <n v="473.48"/>
        <n v="212.91"/>
        <n v="374.18"/>
        <n v="19.14"/>
        <n v="327.07"/>
        <n v="382.79"/>
        <n v="147.8"/>
        <n v="333.41"/>
        <n v="237.34"/>
        <n v="151.98"/>
        <n v="385.05"/>
        <n v="236.87"/>
        <n v="284.63"/>
        <n v="276.97"/>
        <n v="184.53"/>
        <n v="232.76"/>
        <n v="168.4"/>
        <n v="343.26"/>
        <n v="114.0"/>
        <n v="334.15"/>
        <n v="280.81"/>
        <n v="258.45"/>
        <n v="252.65"/>
        <n v="366.23"/>
        <n v="454.48"/>
        <n v="478.7"/>
        <n v="359.99"/>
        <n v="404.72"/>
        <n v="421.84"/>
        <n v="186.33"/>
        <n v="409.17"/>
        <n v="468.5"/>
        <n v="370.66"/>
        <n v="454.15"/>
        <n v="368.98"/>
        <n v="478.34"/>
        <n v="282.34"/>
        <n v="267.02"/>
        <n v="229.95"/>
        <n v="230.32"/>
        <n v="433.27"/>
        <n v="112.31"/>
        <n v="157.8"/>
        <n v="318.59"/>
        <n v="458.11"/>
        <n v="171.57"/>
        <n v="343.48"/>
        <n v="472.75"/>
        <n v="412.39"/>
        <n v="132.25"/>
        <n v="488.89"/>
        <n v="449.06"/>
        <n v="484.1"/>
        <n v="435.57"/>
        <n v="410.91"/>
        <n v="236.14"/>
        <n v="368.0"/>
        <n v="304.0"/>
        <n v="459.97"/>
        <n v="312.26"/>
        <n v="309.5"/>
        <n v="359.87"/>
        <n v="389.81"/>
        <n v="27.6"/>
        <n v="165.85"/>
        <n v="316.46"/>
        <n v="467.23"/>
        <n v="297.06"/>
        <n v="406.92"/>
        <n v="400.45"/>
        <n v="235.58"/>
        <n v="390.5"/>
        <n v="252.72"/>
        <n v="401.86"/>
        <n v="218.62"/>
        <n v="314.92"/>
        <n v="338.83"/>
        <n v="203.54"/>
        <n v="375.35"/>
        <n v="139.22"/>
        <n v="311.92"/>
        <n v="476.26"/>
        <n v="499.83"/>
        <n v="134.99"/>
        <n v="223.02"/>
        <n v="367.19"/>
        <n v="335.52"/>
        <n v="195.31"/>
        <n v="87.0"/>
        <n v="427.5"/>
        <n v="332.11"/>
        <n v="195.89"/>
        <n v="378.27"/>
        <n v="454.36"/>
        <n v="492.88"/>
        <n v="367.51"/>
        <n v="465.38"/>
        <n v="273.64"/>
        <n v="362.91"/>
        <n v="284.44"/>
        <n v="455.6"/>
        <n v="360.65"/>
        <n v="461.8"/>
        <n v="188.13"/>
        <n v="458.25"/>
        <n v="122.59"/>
        <n v="459.87"/>
        <n v="470.42"/>
        <n v="440.69"/>
        <n v="485.86"/>
        <n v="150.84"/>
        <n v="349.03"/>
        <n v="305.6"/>
        <n v="224.04"/>
        <n v="347.32"/>
        <n v="336.44"/>
        <n v="396.01"/>
        <n v="306.42"/>
        <n v="384.01"/>
        <n v="81.1"/>
        <n v="434.09"/>
        <n v="235.4"/>
        <n v="380.95"/>
        <n v="438.14"/>
        <n v="353.03"/>
        <n v="392.2"/>
        <n v="422.96"/>
        <n v="372.1"/>
        <n v="337.11"/>
        <n v="242.29"/>
        <n v="356.06"/>
        <n v="252.19"/>
        <n v="73.66"/>
        <n v="209.36"/>
        <n v="63.52"/>
        <n v="414.47"/>
        <n v="388.31"/>
        <n v="400.87"/>
        <n v="218.87"/>
        <n v="451.65"/>
        <n v="427.74"/>
        <n v="293.18"/>
        <n v="101.06"/>
        <n v="494.18"/>
        <n v="468.15"/>
        <n v="433.12"/>
        <n v="219.79"/>
        <n v="269.96"/>
        <n v="163.55"/>
        <n v="315.43"/>
        <n v="396.02"/>
        <n v="374.32"/>
        <n v="197.79"/>
        <n v="457.99"/>
        <n v="338.8"/>
        <n v="389.74"/>
        <n v="209.67"/>
        <n v="409.29"/>
        <n v="337.8"/>
        <n v="328.58"/>
        <n v="285.48"/>
        <n v="373.93"/>
        <n v="402.12"/>
      </sharedItems>
    </cacheField>
    <cacheField name="Selling_Price" numFmtId="165">
      <sharedItems containsSemiMixedTypes="0" containsString="0" containsNumber="1">
        <n v="921.25"/>
        <n v="385.42"/>
        <n v="590.01"/>
        <n v="814.62"/>
        <n v="963.75"/>
        <n v="862.62"/>
        <n v="604.15"/>
        <n v="491.05"/>
        <n v="217.23"/>
        <n v="388.8"/>
        <n v="923.06"/>
        <n v="615.04"/>
        <n v="214.85"/>
        <n v="249.43"/>
        <n v="648.67"/>
        <n v="840.45"/>
        <n v="448.05"/>
        <n v="953.51"/>
        <n v="798.64"/>
        <n v="598.15"/>
        <n v="354.65"/>
        <n v="626.56"/>
        <n v="531.21"/>
        <n v="604.78"/>
        <n v="566.51"/>
        <n v="772.14"/>
        <n v="306.13"/>
        <n v="934.83"/>
        <n v="999.5"/>
        <n v="961.16"/>
        <n v="587.19"/>
        <n v="108.64"/>
        <n v="664.07"/>
        <n v="509.37"/>
        <n v="587.25"/>
        <n v="668.97"/>
        <n v="746.81"/>
        <n v="907.66"/>
        <n v="683.33"/>
        <n v="575.34"/>
        <n v="250.11"/>
        <n v="667.71"/>
        <n v="506.44"/>
        <n v="450.63"/>
        <n v="720.31"/>
        <n v="656.17"/>
        <n v="676.78"/>
        <n v="311.92"/>
        <n v="696.53"/>
        <n v="718.43"/>
        <n v="953.65"/>
        <n v="983.47"/>
        <n v="987.6"/>
        <n v="148.96"/>
        <n v="234.95"/>
        <n v="924.42"/>
        <n v="676.41"/>
        <n v="202.09"/>
        <n v="646.43"/>
        <n v="908.49"/>
        <n v="953.56"/>
        <n v="571.57"/>
        <n v="825.7"/>
        <n v="733.06"/>
        <n v="824.49"/>
        <n v="864.27"/>
        <n v="569.39"/>
        <n v="821.64"/>
        <n v="809.41"/>
        <n v="988.46"/>
        <n v="707.03"/>
        <n v="780.97"/>
        <n v="435.65"/>
        <n v="813.92"/>
        <n v="377.55"/>
        <n v="670.18"/>
        <n v="556.19"/>
        <n v="823.87"/>
        <n v="841.36"/>
        <n v="988.93"/>
        <n v="429.53"/>
        <n v="291.19"/>
        <n v="558.66"/>
        <n v="383.94"/>
        <n v="961.36"/>
        <n v="629.63"/>
        <n v="750.54"/>
        <n v="538.15"/>
        <n v="916.69"/>
        <n v="796.97"/>
        <n v="496.39"/>
        <n v="307.36"/>
        <n v="838.72"/>
        <n v="935.43"/>
        <n v="690.91"/>
        <n v="530.47"/>
        <n v="540.31"/>
        <n v="304.07"/>
        <n v="172.06"/>
        <n v="837.65"/>
        <n v="871.88"/>
        <n v="849.59"/>
        <n v="963.67"/>
        <n v="360.23"/>
        <n v="863.65"/>
        <n v="848.72"/>
        <n v="907.75"/>
        <n v="629.98"/>
        <n v="769.41"/>
        <n v="948.82"/>
        <n v="869.17"/>
        <n v="397.33"/>
        <n v="673.44"/>
        <n v="948.19"/>
        <n v="680.65"/>
        <n v="779.0"/>
        <n v="347.46"/>
        <n v="621.7"/>
        <n v="421.91"/>
        <n v="337.05"/>
        <n v="434.22"/>
        <n v="185.35"/>
        <n v="907.68"/>
        <n v="259.11"/>
        <n v="975.98"/>
        <n v="190.02"/>
        <n v="316.89"/>
        <n v="815.82"/>
        <n v="703.35"/>
        <n v="965.64"/>
        <n v="374.12"/>
        <n v="897.39"/>
        <n v="854.33"/>
        <n v="776.76"/>
        <n v="350.62"/>
        <n v="668.3"/>
        <n v="801.06"/>
        <n v="943.27"/>
        <n v="526.23"/>
        <n v="586.24"/>
        <n v="961.97"/>
        <n v="818.54"/>
        <n v="821.7"/>
        <n v="258.4"/>
        <n v="170.08"/>
        <n v="738.79"/>
        <n v="979.73"/>
        <n v="630.3"/>
        <n v="749.53"/>
        <n v="324.0"/>
        <n v="831.3"/>
        <n v="536.37"/>
        <n v="937.92"/>
        <n v="611.85"/>
        <n v="812.0"/>
        <n v="742.64"/>
        <n v="942.4"/>
        <n v="915.37"/>
        <n v="943.11"/>
        <n v="423.16"/>
        <n v="736.79"/>
        <n v="868.55"/>
        <n v="610.47"/>
        <n v="982.05"/>
        <n v="922.31"/>
        <n v="501.78"/>
        <n v="511.36"/>
        <n v="993.47"/>
        <n v="961.57"/>
        <n v="737.35"/>
        <n v="986.74"/>
        <n v="487.89"/>
        <n v="858.5"/>
        <n v="806.65"/>
        <n v="662.62"/>
        <n v="840.3"/>
        <n v="679.49"/>
        <n v="819.03"/>
        <n v="847.38"/>
        <n v="900.86"/>
        <n v="473.4"/>
        <n v="903.14"/>
        <n v="248.47"/>
        <n v="674.25"/>
        <n v="780.44"/>
        <n v="896.0"/>
        <n v="541.02"/>
        <n v="665.11"/>
        <n v="833.52"/>
        <n v="921.56"/>
        <n v="919.26"/>
        <n v="817.66"/>
        <n v="842.52"/>
        <n v="158.62"/>
        <n v="889.23"/>
        <n v="332.44"/>
        <n v="195.82"/>
        <n v="804.82"/>
        <n v="813.25"/>
        <n v="839.55"/>
        <n v="400.97"/>
        <n v="392.42"/>
        <n v="606.24"/>
        <n v="853.21"/>
        <n v="817.61"/>
        <n v="671.06"/>
        <n v="843.14"/>
        <n v="180.29"/>
        <n v="642.83"/>
        <n v="915.21"/>
        <n v="969.47"/>
        <n v="611.33"/>
        <n v="566.97"/>
        <n v="307.27"/>
        <n v="560.61"/>
        <n v="391.83"/>
        <n v="695.93"/>
        <n v="927.22"/>
        <n v="724.46"/>
        <n v="725.28"/>
        <n v="848.42"/>
        <n v="946.21"/>
        <n v="516.0"/>
        <n v="707.06"/>
        <n v="679.94"/>
        <n v="490.81"/>
        <n v="683.54"/>
        <n v="569.69"/>
        <n v="331.67"/>
        <n v="685.92"/>
        <n v="457.88"/>
        <n v="868.13"/>
        <n v="768.43"/>
        <n v="103.75"/>
        <n v="945.58"/>
        <n v="499.57"/>
        <n v="547.25"/>
        <n v="150.5"/>
        <n v="589.06"/>
        <n v="630.77"/>
        <n v="598.25"/>
        <n v="830.19"/>
        <n v="583.77"/>
        <n v="409.61"/>
        <n v="770.83"/>
        <n v="432.79"/>
        <n v="546.96"/>
        <n v="426.68"/>
        <n v="150.71"/>
        <n v="900.14"/>
        <n v="310.1"/>
        <n v="695.38"/>
        <n v="600.29"/>
        <n v="805.31"/>
        <n v="671.57"/>
        <n v="428.36"/>
        <n v="845.3"/>
        <n v="835.5"/>
        <n v="916.32"/>
        <n v="622.13"/>
        <n v="867.63"/>
        <n v="842.05"/>
        <n v="236.04"/>
        <n v="850.46"/>
        <n v="290.74"/>
        <n v="655.81"/>
        <n v="249.2"/>
        <n v="995.07"/>
        <n v="384.61"/>
        <n v="213.08"/>
        <n v="761.6"/>
        <n v="507.16"/>
        <n v="821.49"/>
        <n v="641.51"/>
        <n v="738.42"/>
        <n v="438.08"/>
        <n v="748.05"/>
        <n v="572.32"/>
        <n v="870.03"/>
        <n v="155.15"/>
        <n v="382.26"/>
        <n v="174.12"/>
        <n v="500.72"/>
        <n v="83.2"/>
        <n v="539.41"/>
        <n v="456.94"/>
        <n v="580.51"/>
        <n v="947.55"/>
        <n v="629.83"/>
        <n v="715.4"/>
        <n v="611.13"/>
        <n v="771.65"/>
        <n v="664.38"/>
        <n v="198.7"/>
        <n v="548.99"/>
        <n v="613.84"/>
        <n v="795.85"/>
        <n v="717.02"/>
        <n v="628.39"/>
        <n v="951.13"/>
        <n v="515.22"/>
        <n v="776.8"/>
        <n v="401.9"/>
        <n v="430.21"/>
        <n v="845.92"/>
        <n v="818.52"/>
        <n v="480.56"/>
        <n v="554.79"/>
        <n v="532.32"/>
        <n v="484.16"/>
        <n v="917.21"/>
        <n v="231.88"/>
        <n v="586.37"/>
        <n v="299.05"/>
        <n v="458.78"/>
        <n v="621.67"/>
        <n v="502.7"/>
        <n v="430.33"/>
        <n v="509.33"/>
        <n v="460.7"/>
        <n v="236.39"/>
        <n v="347.54"/>
        <n v="518.63"/>
        <n v="474.95"/>
        <n v="875.01"/>
        <n v="863.33"/>
        <n v="292.01"/>
        <n v="135.59"/>
        <n v="521.75"/>
        <n v="411.79"/>
        <n v="754.96"/>
        <n v="654.01"/>
        <n v="340.0"/>
        <n v="584.82"/>
        <n v="793.44"/>
        <n v="149.47"/>
        <n v="513.6"/>
        <n v="349.78"/>
        <n v="573.39"/>
        <n v="25.93"/>
        <n v="440.86"/>
        <n v="520.21"/>
        <n v="257.77"/>
        <n v="312.93"/>
        <n v="358.67"/>
        <n v="189.15"/>
        <n v="493.06"/>
        <n v="245.46"/>
        <n v="291.08"/>
        <n v="427.76"/>
        <n v="311.13"/>
        <n v="326.06"/>
        <n v="160.14"/>
        <n v="542.52"/>
        <n v="169.59"/>
        <n v="397.4"/>
        <n v="316.55"/>
        <n v="253.54"/>
        <n v="405.17"/>
        <n v="394.55"/>
        <n v="722.32"/>
        <n v="638.12"/>
        <n v="295.37"/>
        <n v="438.92"/>
        <n v="618.48"/>
        <n v="253.97"/>
        <n v="527.38"/>
        <n v="572.28"/>
        <n v="440.34"/>
        <n v="403.11"/>
        <n v="490.01"/>
        <n v="607.38"/>
        <n v="225.36"/>
        <n v="390.12"/>
        <n v="336.1"/>
        <n v="221.86"/>
        <n v="376.41"/>
        <n v="136.57"/>
        <n v="118.54"/>
        <n v="270.34"/>
        <n v="338.86"/>
        <n v="590.18"/>
        <n v="373.74"/>
        <n v="339.47"/>
        <n v="438.44"/>
        <n v="145.76"/>
        <n v="422.88"/>
        <n v="411.47"/>
        <n v="429.42"/>
        <n v="371.52"/>
        <n v="405.75"/>
        <n v="224.11"/>
        <n v="385.53"/>
        <n v="333.72"/>
        <n v="429.51"/>
        <n v="259.97"/>
        <n v="246.5"/>
        <n v="354.13"/>
        <n v="27.96"/>
        <n v="98.75"/>
        <n v="231.58"/>
        <n v="469.18"/>
        <n v="213.69"/>
        <n v="283.54"/>
        <n v="237.15"/>
        <n v="174.2"/>
        <n v="287.3"/>
        <n v="218.46"/>
        <n v="312.18"/>
        <n v="189.11"/>
        <n v="316.92"/>
        <n v="372.22"/>
        <n v="202.21"/>
        <n v="259.75"/>
        <n v="80.17"/>
        <n v="316.77"/>
        <n v="293.25"/>
        <n v="275.08"/>
        <n v="114.34"/>
        <n v="143.03"/>
        <n v="263.26"/>
        <n v="191.67"/>
        <n v="90.07"/>
        <n v="48.35"/>
        <n v="213.77"/>
        <n v="284.48"/>
        <n v="86.14"/>
        <n v="169.14"/>
        <n v="267.88"/>
        <n v="215.38"/>
        <n v="154.19"/>
        <n v="346.29"/>
        <n v="141.62"/>
        <n v="198.94"/>
        <n v="119.27"/>
        <n v="253.89"/>
        <n v="212.2"/>
        <n v="223.71"/>
        <n v="134.75"/>
        <n v="290.35"/>
        <n v="54.69"/>
        <n v="183.65"/>
        <n v="318.01"/>
        <n v="217.56"/>
        <n v="234.54"/>
        <n v="76.45"/>
        <n v="144.08"/>
        <n v="146.14"/>
        <n v="137.11"/>
        <n v="137.23"/>
        <n v="133.57"/>
        <n v="142.52"/>
        <n v="146.9"/>
        <n v="192.74"/>
        <n v="40.52"/>
        <n v="150.38"/>
        <n v="107.14"/>
        <n v="122.26"/>
        <n v="128.66"/>
        <n v="149.69"/>
        <n v="92.42"/>
        <n v="145.65"/>
        <n v="106.05"/>
        <n v="107.2"/>
        <n v="70.43"/>
        <n v="102.75"/>
        <n v="53.18"/>
        <n v="25.13"/>
        <n v="63.27"/>
        <n v="14.76"/>
        <n v="96.36"/>
        <n v="69.04"/>
        <n v="131.77"/>
        <n v="64.16"/>
        <n v="70.45"/>
        <n v="96.87"/>
        <n v="65.92"/>
        <n v="22.14"/>
        <n v="76.33"/>
        <n v="89.26"/>
        <n v="87.23"/>
        <n v="42.82"/>
        <n v="54.85"/>
        <n v="39.23"/>
        <n v="42.26"/>
        <n v="58.65"/>
        <n v="74.2"/>
        <n v="35.93"/>
        <n v="49.55"/>
        <n v="39.66"/>
        <n v="62.76"/>
        <n v="25.82"/>
        <n v="53.16"/>
        <n v="27.91"/>
        <n v="25.16"/>
        <n v="17.15"/>
        <n v="16.83"/>
        <n v="11.14"/>
      </sharedItems>
    </cacheField>
    <cacheField name="Discount" numFmtId="0">
      <sharedItems containsSemiMixedTypes="0" containsString="0" containsNumber="1">
        <n v="8.0"/>
        <n v="8.79"/>
        <n v="6.88"/>
        <n v="7.95"/>
        <n v="24.27"/>
        <n v="38.29"/>
        <n v="6.49"/>
        <n v="2.03"/>
        <n v="36.91"/>
        <n v="19.02"/>
        <n v="14.02"/>
        <n v="39.81"/>
        <n v="13.74"/>
        <n v="38.95"/>
        <n v="4.76"/>
        <n v="35.51"/>
        <n v="8.39"/>
        <n v="36.88"/>
        <n v="44.03"/>
        <n v="43.16"/>
        <n v="40.9"/>
        <n v="0.0"/>
        <n v="20.7"/>
        <n v="1.33"/>
        <n v="22.13"/>
        <n v="40.24"/>
        <n v="12.87"/>
        <n v="14.18"/>
        <n v="47.58"/>
        <n v="16.71"/>
        <n v="11.09"/>
        <n v="11.5"/>
        <n v="28.97"/>
        <n v="13.27"/>
        <n v="40.37"/>
        <n v="11.23"/>
        <n v="46.46"/>
        <n v="0.55"/>
        <n v="3.38"/>
        <n v="8.48"/>
        <n v="46.64"/>
        <n v="32.43"/>
        <n v="41.73"/>
        <n v="20.13"/>
        <n v="0.88"/>
        <n v="41.47"/>
        <n v="7.9"/>
        <n v="43.44"/>
        <n v="39.6"/>
        <n v="42.44"/>
        <n v="1.24"/>
        <n v="46.81"/>
        <n v="23.9"/>
        <n v="12.61"/>
        <n v="2.26"/>
        <n v="11.19"/>
        <n v="49.61"/>
        <n v="19.91"/>
        <n v="33.4"/>
        <n v="5.37"/>
        <n v="29.03"/>
        <n v="2.94"/>
        <n v="46.92"/>
        <n v="20.83"/>
        <n v="25.55"/>
        <n v="0.97"/>
        <n v="42.47"/>
        <n v="17.84"/>
        <n v="36.42"/>
        <n v="1.52"/>
        <n v="18.23"/>
        <n v="23.8"/>
        <n v="0.2"/>
        <n v="20.25"/>
        <n v="17.48"/>
        <n v="2.92"/>
        <n v="9.89"/>
        <n v="21.23"/>
        <n v="14.81"/>
        <n v="48.51"/>
        <n v="9.9"/>
        <n v="9.74"/>
        <n v="1.88"/>
        <n v="30.38"/>
        <n v="30.06"/>
        <n v="34.58"/>
        <n v="6.32"/>
        <n v="5.48"/>
        <n v="10.21"/>
        <n v="27.39"/>
        <n v="4.93"/>
        <n v="45.78"/>
        <n v="35.27"/>
        <n v="15.04"/>
        <n v="10.08"/>
        <n v="41.52"/>
        <n v="28.84"/>
        <n v="22.48"/>
        <n v="8.69"/>
        <n v="7.13"/>
        <n v="24.31"/>
        <n v="9.86"/>
        <n v="45.8"/>
        <n v="20.57"/>
        <n v="36.38"/>
        <n v="12.79"/>
        <n v="29.97"/>
        <n v="18.96"/>
        <n v="26.09"/>
        <n v="48.66"/>
        <n v="2.98"/>
        <n v="43.91"/>
        <n v="6.78"/>
        <n v="11.06"/>
        <n v="11.75"/>
        <n v="24.14"/>
        <n v="33.54"/>
        <n v="5.64"/>
        <n v="27.35"/>
        <n v="21.75"/>
        <n v="16.21"/>
        <n v="24.99"/>
        <n v="11.2"/>
        <n v="26.84"/>
        <n v="8.22"/>
        <n v="19.67"/>
        <n v="21.09"/>
        <n v="5.33"/>
        <n v="4.0"/>
        <n v="42.58"/>
        <n v="35.53"/>
        <n v="5.05"/>
        <n v="46.15"/>
        <n v="35.47"/>
        <n v="3.2"/>
        <n v="15.36"/>
        <n v="2.97"/>
        <n v="28.02"/>
        <n v="10.04"/>
        <n v="47.72"/>
        <n v="45.95"/>
        <n v="18.14"/>
        <n v="1.8"/>
        <n v="3.87"/>
        <n v="23.45"/>
        <n v="22.02"/>
        <n v="8.55"/>
        <n v="33.88"/>
        <n v="15.64"/>
        <n v="45.28"/>
        <n v="19.47"/>
        <n v="5.96"/>
        <n v="35.28"/>
        <n v="2.24"/>
        <n v="28.74"/>
        <n v="47.46"/>
        <n v="29.22"/>
        <n v="45.02"/>
        <n v="20.54"/>
        <n v="45.7"/>
        <n v="4.21"/>
        <n v="10.9"/>
        <n v="24.93"/>
        <n v="31.17"/>
        <n v="18.03"/>
        <n v="1.02"/>
        <n v="2.34"/>
        <n v="46.49"/>
        <n v="21.66"/>
        <n v="6.56"/>
        <n v="20.63"/>
        <n v="21.86"/>
        <n v="0.73"/>
        <n v="32.37"/>
        <n v="28.53"/>
        <n v="43.29"/>
        <n v="44.15"/>
        <n v="35.76"/>
        <n v="17.97"/>
        <n v="0.22"/>
        <n v="35.24"/>
        <n v="9.57"/>
        <n v="42.06"/>
        <n v="34.39"/>
        <n v="16.91"/>
        <n v="6.0"/>
        <n v="36.7"/>
        <n v="47.68"/>
        <n v="41.76"/>
        <n v="24.35"/>
        <n v="7.52"/>
        <n v="2.16"/>
        <n v="16.65"/>
        <n v="23.86"/>
        <n v="48.01"/>
        <n v="22.51"/>
        <n v="37.86"/>
        <n v="18.49"/>
        <n v="45.17"/>
        <n v="7.55"/>
        <n v="38.54"/>
        <n v="0.21"/>
        <n v="43.68"/>
        <n v="29.23"/>
        <n v="14.43"/>
        <n v="13.68"/>
        <n v="42.15"/>
        <n v="2.33"/>
        <n v="17.05"/>
        <n v="20.22"/>
        <n v="34.57"/>
        <n v="12.71"/>
        <n v="1.14"/>
        <n v="38.43"/>
        <n v="9.62"/>
        <n v="20.21"/>
        <n v="3.02"/>
        <n v="28.71"/>
        <n v="49.64"/>
        <n v="37.68"/>
        <n v="16.86"/>
        <n v="5.6"/>
        <n v="25.13"/>
        <n v="2.93"/>
        <n v="16.41"/>
        <n v="28.27"/>
        <n v="49.43"/>
        <n v="4.01"/>
        <n v="36.29"/>
        <n v="36.57"/>
        <n v="4.64"/>
        <n v="24.73"/>
        <n v="29.92"/>
        <n v="30.46"/>
        <n v="39.16"/>
        <n v="3.83"/>
        <n v="9.01"/>
        <n v="3.32"/>
        <n v="9.15"/>
        <n v="44.78"/>
        <n v="26.9"/>
        <n v="3.89"/>
        <n v="35.55"/>
        <n v="34.73"/>
        <n v="7.11"/>
        <n v="24.64"/>
        <n v="18.27"/>
        <n v="48.75"/>
        <n v="0.49"/>
        <n v="15.26"/>
        <n v="18.16"/>
        <n v="37.18"/>
        <n v="15.95"/>
        <n v="6.03"/>
        <n v="35.57"/>
        <n v="31.04"/>
        <n v="32.34"/>
        <n v="31.15"/>
        <n v="38.81"/>
        <n v="23.24"/>
        <n v="47.03"/>
        <n v="46.58"/>
        <n v="6.34"/>
        <n v="5.56"/>
        <n v="22.52"/>
        <n v="48.89"/>
        <n v="47.71"/>
        <n v="26.44"/>
        <n v="7.46"/>
        <n v="47.19"/>
        <n v="21.12"/>
        <n v="30.76"/>
        <n v="41.38"/>
        <n v="42.76"/>
        <n v="12.54"/>
        <n v="25.96"/>
        <n v="34.27"/>
        <n v="2.3"/>
        <n v="0.65"/>
        <n v="13.87"/>
        <n v="16.95"/>
        <n v="31.51"/>
        <n v="4.16"/>
        <n v="43.71"/>
        <n v="16.4"/>
        <n v="23.96"/>
        <n v="2.45"/>
        <n v="29.04"/>
        <n v="35.41"/>
        <n v="20.38"/>
        <n v="11.43"/>
        <n v="7.14"/>
        <n v="40.4"/>
        <n v="25.64"/>
        <n v="24.05"/>
        <n v="42.02"/>
        <n v="47.01"/>
        <n v="45.63"/>
        <n v="44.45"/>
        <n v="15.65"/>
        <n v="40.92"/>
        <n v="27.42"/>
        <n v="7.53"/>
        <n v="33.37"/>
        <n v="13.57"/>
        <n v="45.1"/>
        <n v="12.82"/>
        <n v="46.13"/>
        <n v="43.88"/>
        <n v="42.66"/>
        <n v="23.52"/>
        <n v="6.08"/>
        <n v="11.61"/>
        <n v="49.88"/>
        <n v="7.56"/>
        <n v="31.02"/>
        <n v="14.36"/>
        <n v="9.38"/>
        <n v="47.07"/>
        <n v="43.03"/>
        <n v="45.4"/>
        <n v="49.72"/>
        <n v="42.08"/>
        <n v="39.48"/>
        <n v="28.6"/>
        <n v="8.09"/>
        <n v="28.34"/>
        <n v="48.68"/>
        <n v="6.72"/>
        <n v="11.3"/>
        <n v="38.39"/>
        <n v="30.61"/>
        <n v="31.55"/>
        <n v="46.93"/>
        <n v="40.48"/>
        <n v="27.99"/>
        <n v="30.04"/>
        <n v="13.9"/>
        <n v="43.07"/>
        <n v="47.97"/>
        <n v="37.87"/>
        <n v="9.43"/>
        <n v="45.64"/>
        <n v="42.63"/>
        <n v="28.39"/>
        <n v="25.19"/>
        <n v="14.59"/>
        <n v="47.86"/>
        <n v="23.69"/>
        <n v="48.62"/>
        <n v="39.0"/>
        <n v="1.31"/>
        <n v="25.4"/>
        <n v="45.25"/>
        <n v="41.74"/>
        <n v="39.24"/>
        <n v="36.45"/>
        <n v="34.68"/>
        <n v="14.09"/>
        <n v="41.13"/>
        <n v="6.76"/>
        <n v="49.55"/>
        <n v="49.8"/>
        <n v="24.18"/>
        <n v="16.9"/>
        <n v="41.17"/>
        <n v="8.32"/>
        <n v="33.28"/>
        <n v="45.83"/>
        <n v="31.01"/>
        <n v="37.64"/>
        <n v="5.61"/>
        <n v="40.44"/>
        <n v="24.85"/>
        <n v="29.14"/>
        <n v="27.51"/>
        <n v="24.79"/>
        <n v="35.33"/>
        <n v="34.19"/>
        <n v="40.56"/>
        <n v="44.46"/>
        <n v="35.21"/>
        <n v="27.82"/>
        <n v="34.09"/>
        <n v="34.41"/>
        <n v="41.42"/>
        <n v="0.61"/>
        <n v="19.31"/>
        <n v="41.31"/>
        <n v="18.55"/>
        <n v="16.23"/>
        <n v="1.5"/>
        <n v="21.24"/>
        <n v="21.0"/>
        <n v="34.16"/>
        <n v="27.03"/>
        <n v="34.5"/>
        <n v="44.13"/>
        <n v="49.38"/>
        <n v="25.44"/>
        <n v="49.56"/>
        <n v="17.06"/>
        <n v="9.8"/>
        <n v="44.66"/>
        <n v="28.76"/>
        <n v="38.06"/>
        <n v="22.35"/>
        <n v="4.53"/>
        <n v="20.82"/>
        <n v="12.07"/>
        <n v="48.69"/>
        <n v="1.66"/>
        <n v="5.09"/>
        <n v="28.82"/>
        <n v="0.79"/>
        <n v="44.24"/>
        <n v="20.19"/>
        <n v="28.81"/>
        <n v="7.72"/>
        <n v="30.7"/>
        <n v="34.82"/>
        <n v="22.24"/>
        <n v="48.92"/>
        <n v="42.41"/>
        <n v="19.29"/>
        <n v="12.18"/>
        <n v="48.31"/>
        <n v="29.6"/>
        <n v="28.17"/>
        <n v="31.67"/>
        <n v="18.37"/>
        <n v="30.92"/>
        <n v="47.1"/>
        <n v="18.13"/>
        <n v="20.66"/>
        <n v="14.46"/>
        <n v="39.79"/>
        <n v="43.02"/>
        <n v="45.27"/>
        <n v="22.16"/>
        <n v="45.44"/>
        <n v="27.02"/>
        <n v="23.13"/>
        <n v="9.48"/>
        <n v="39.25"/>
        <n v="31.27"/>
        <n v="33.68"/>
        <n v="33.22"/>
        <n v="13.32"/>
        <n v="46.89"/>
        <n v="40.84"/>
        <n v="23.59"/>
        <n v="24.33"/>
        <n v="2.46"/>
        <n v="47.81"/>
        <n v="0.23"/>
        <n v="31.31"/>
        <n v="31.07"/>
        <n v="31.64"/>
        <n v="12.3"/>
        <n v="33.66"/>
        <n v="33.65"/>
        <n v="37.84"/>
        <n v="47.8"/>
        <n v="6.94"/>
        <n v="23.12"/>
        <n v="46.12"/>
        <n v="10.38"/>
        <n v="22.0"/>
        <n v="47.74"/>
        <n v="34.08"/>
        <n v="38.84"/>
        <n v="23.91"/>
        <n v="40.26"/>
        <n v="25.51"/>
        <n v="44.35"/>
        <n v="18.33"/>
      </sharedItems>
    </cacheField>
    <cacheField name="Revenue" numFmtId="165">
      <sharedItems containsSemiMixedTypes="0" containsString="0" containsNumber="1">
        <n v="63566.25"/>
        <n v="33747.991872"/>
        <n v="13186.015488000001"/>
        <n v="65237.62077"/>
        <n v="8028.326625"/>
        <n v="41521.178556"/>
        <n v="3954.5846550000006"/>
        <n v="29345.982785"/>
        <n v="9730.578897"/>
        <n v="10390.05792"/>
        <n v="40475.996388"/>
        <n v="23322.132287999997"/>
        <n v="2409.28493"/>
        <n v="4416.033435"/>
        <n v="4324.553156"/>
        <n v="52032.59568000001"/>
        <n v="31605.312585"/>
        <n v="22870.509455999996"/>
        <n v="8492.977352"/>
        <n v="20059.31914"/>
        <n v="3353.5703999999996"/>
        <n v="26315.519999999997"/>
        <n v="842.4990600000001"/>
        <n v="35804.18556"/>
        <n v="19851.360165"/>
        <n v="13381.495055999998"/>
        <n v="5601.352448999999"/>
        <n v="41718.097512"/>
        <n v="21481.4539"/>
        <n v="67246.213776"/>
        <n v="42287.72094900001"/>
        <n v="6345.6624"/>
        <n v="29244.713102"/>
        <n v="43735.883498999996"/>
        <n v="16458.327225"/>
        <n v="5938.44669"/>
        <n v="29988.155549999996"/>
        <n v="43328.05776"/>
        <n v="50177.741896"/>
        <n v="47916.156288000006"/>
        <n v="4804.513056000002"/>
        <n v="33837.873524999995"/>
        <n v="12394.308696"/>
        <n v="34912.063557"/>
        <n v="17849.2818"/>
        <n v="2688.3941069999996"/>
        <n v="4986.51504"/>
        <n v="13937.334208000002"/>
        <n v="31132.10488"/>
        <n v="36390.491104"/>
        <n v="84764.22660000001"/>
        <n v="42371.72313300001"/>
        <n v="22546.908"/>
        <n v="12757.262112"/>
        <n v="9185.6052"/>
        <n v="34481.050884"/>
        <n v="4090.115988"/>
        <n v="11977.187193999998"/>
        <n v="15498.805680000001"/>
        <n v="25791.122610000002"/>
        <n v="9474.381448"/>
        <n v="42716.96983400001"/>
        <n v="5697.660279999999"/>
        <n v="44687.997354"/>
        <n v="54017.28683999999"/>
        <n v="56488.514345999996"/>
        <n v="30791.586298"/>
        <n v="47929.219104"/>
        <n v="21099.537997999996"/>
        <n v="35043.674688"/>
        <n v="12719.045482"/>
        <n v="40466.74152"/>
        <n v="3478.2295999999997"/>
        <n v="41542.4768"/>
        <n v="5607.97668"/>
        <n v="55301.913239999994"/>
        <n v="33078.065394000005"/>
        <n v="38937.74393999999"/>
        <n v="7167.545840000001"/>
        <n v="35644.00399"/>
        <n v="17028.28732"/>
        <n v="4993.733786"/>
        <n v="40015.475016"/>
        <n v="26729.902799999996"/>
        <n v="25550.256992000002"/>
        <n v="14416.63811"/>
        <n v="35858.399472"/>
        <n v="8647.20946"/>
        <n v="18931.206873000003"/>
        <n v="43400.993774999995"/>
        <n v="26427.406488"/>
        <n v="10665.637888000001"/>
        <n v="49947.117952"/>
        <n v="5563.189296"/>
        <n v="621.266272"/>
        <n v="15200.723944000001"/>
        <n v="9612.114899999999"/>
        <n v="14142.90384"/>
        <n v="1885.2958320000002"/>
        <n v="76236.70439"/>
        <n v="65332.671228"/>
        <n v="53607.429820000005"/>
        <n v="12013.11022"/>
        <n v="14592.665139"/>
        <n v="6043.99543"/>
        <n v="51071.641128"/>
        <n v="61662.640525"/>
        <n v="10210.71584"/>
        <n v="38100.952377"/>
        <n v="13152.353076000003"/>
        <n v="37947.093029999996"/>
        <n v="7800.183894999999"/>
        <n v="38922.407616000004"/>
        <n v="12649.80279"/>
        <n v="53459.952625000005"/>
        <n v="43139.3062"/>
        <n v="21475.738188000003"/>
        <n v="14665.903000000002"/>
        <n v="27280.067735"/>
        <n v="9230.956875"/>
        <n v="11642.654016"/>
        <n v="10705.389695"/>
        <n v="57227.40864"/>
        <n v="10426.068180000002"/>
        <n v="81513.654404"/>
        <n v="763.21533"/>
        <n v="13253.068646999998"/>
        <n v="16219.072674000001"/>
        <n v="56718.144"/>
        <n v="42694.227576000005"/>
        <n v="14954.100168"/>
        <n v="52828.45191"/>
        <n v="33584.139465"/>
        <n v="14034.810383999999"/>
        <n v="13576.006399999998"/>
        <n v="45817.57872"/>
        <n v="58295.138849999996"/>
        <n v="65859.677362"/>
        <n v="10888.119684000001"/>
        <n v="15630.799872"/>
        <n v="48874.80979"/>
        <n v="50254.2633"/>
        <n v="38731.65120000001"/>
        <n v="11923.19616"/>
        <n v="5989.027040000001"/>
        <n v="21892.120796"/>
        <n v="69885.12063"/>
        <n v="32923.59444"/>
        <n v="34776.69294"/>
        <n v="5141.4911999999995"/>
        <n v="24769.497929999998"/>
        <n v="14123.265744"/>
        <n v="13961.501952"/>
        <n v="24523.926960000004"/>
        <n v="16780.3048"/>
        <n v="14046.590016"/>
        <n v="9338.43008"/>
        <n v="28183.143856"/>
        <n v="50209.478802"/>
        <n v="3676.4140799999996"/>
        <n v="69871.34295899999"/>
        <n v="72744.5367"/>
        <n v="28413.349398000002"/>
        <n v="6083.5051349999985"/>
        <n v="37044.857843"/>
        <n v="33276.343548"/>
        <n v="39951.534080000005"/>
        <n v="21264.23188"/>
        <n v="10546.115132"/>
        <n v="2755.9193600000003"/>
        <n v="54039.112122000006"/>
        <n v="381.23724599999997"/>
        <n v="72439.80075"/>
        <n v="52917.127315000005"/>
        <n v="1894.298056"/>
        <n v="10007.216729999998"/>
        <n v="29980.118035"/>
        <n v="4735.3038480000005"/>
        <n v="40316.137212"/>
        <n v="54831.564588"/>
        <n v="11649.805919999999"/>
        <n v="9800.514024"/>
        <n v="3455.124431999999"/>
        <n v="30966.27975"/>
        <n v="17508.625092000002"/>
        <n v="6737.92"/>
        <n v="10273.969799999999"/>
        <n v="12875.465424"/>
        <n v="43204.342272"/>
        <n v="27886.405599999995"/>
        <n v="22953.554496"/>
        <n v="1599.997088"/>
        <n v="33707.54016"/>
        <n v="11715.006996"/>
        <n v="32824.058067000005"/>
        <n v="15971.680871999997"/>
        <n v="9856.286387999999"/>
        <n v="36080.48301"/>
        <n v="16052.5791"/>
        <n v="48122.16645"/>
        <n v="1232.18081"/>
        <n v="37201.61221"/>
        <n v="1707.1718399999997"/>
        <n v="32606.102718000002"/>
        <n v="19589.608556000003"/>
        <n v="53291.82726399999"/>
        <n v="28289.87642"/>
        <n v="7451.277526"/>
        <n v="37043.271599"/>
        <n v="61492.502295000006"/>
        <n v="27843.953976"/>
        <n v="49068.280184"/>
        <n v="26338.761441000002"/>
        <n v="25748.734367999998"/>
        <n v="30482.04753"/>
        <n v="6272.493006000001"/>
        <n v="20756.390622"/>
        <n v="62885.45123"/>
        <n v="54801.342024000005"/>
        <n v="21199.136592"/>
        <n v="11963.400736"/>
        <n v="54250.382624000005"/>
        <n v="4719.0264"/>
        <n v="51394.777279999995"/>
        <n v="5090.71078"/>
        <n v="39067.199894"/>
        <n v="6856.453031999999"/>
        <n v="20023.293213"/>
        <n v="5534.942127000001"/>
        <n v="62549.38775999999"/>
        <n v="27712.95806"/>
        <n v="48457.627592"/>
        <n v="52027.014208"/>
        <n v="6169.3173750000005"/>
        <n v="12590.586815999999"/>
        <n v="9032.425428"/>
        <n v="1997.6814000000002"/>
        <n v="6657.8491"/>
        <n v="40198.92705"/>
        <n v="31101.250236"/>
        <n v="23914.445499999998"/>
        <n v="22921.5459"/>
        <n v="37979.492430000006"/>
        <n v="17321.751524"/>
        <n v="43718.39428000001"/>
        <n v="20338.706376000002"/>
        <n v="21338.988048000003"/>
        <n v="7395.559104"/>
        <n v="3695.25849"/>
        <n v="5074.539249999999"/>
        <n v="22526.377230000002"/>
        <n v="57747.97117600001"/>
        <n v="22598.757456"/>
        <n v="46542.40826399999"/>
        <n v="46849.730555"/>
        <n v="21736.614168"/>
        <n v="25052.832339999997"/>
        <n v="35721.9696"/>
        <n v="11159.678016000002"/>
        <n v="24415.180784999997"/>
        <n v="46188.543338999996"/>
        <n v="31671.52142"/>
        <n v="10127.461428"/>
        <n v="35890.942828"/>
        <n v="7079.984184"/>
        <n v="42734.940516"/>
        <n v="18921.85568"/>
        <n v="45263.644653"/>
        <n v="11262.303863999998"/>
        <n v="10815.173712000002"/>
        <n v="20761.82528"/>
        <n v="5631.910368"/>
        <n v="31669.507437000004"/>
        <n v="35421.61616"/>
        <n v="43970.25268799999"/>
        <n v="21314.607168000002"/>
        <n v="31257.418859999998"/>
        <n v="14015.430016000002"/>
        <n v="37392.149339999996"/>
        <n v="10912.9407"/>
        <n v="2261.335482"/>
        <n v="14119.56492"/>
        <n v="44771.878800000006"/>
        <n v="1648.18368"/>
        <n v="35390.420395"/>
        <n v="19403.408772000003"/>
        <n v="25592.596064"/>
        <n v="46403.70286499999"/>
        <n v="44755.719800000006"/>
        <n v="46239.1636"/>
        <n v="56038.78761000001"/>
        <n v="31211.081879999998"/>
        <n v="34758.966402"/>
        <n v="14554.854479999998"/>
        <n v="31605.628795"/>
        <n v="51871.075984"/>
        <n v="26087.963000000003"/>
        <n v="33056.916464"/>
        <n v="1909.0488199999998"/>
        <n v="9374.907958"/>
        <n v="21022.161006000002"/>
        <n v="36321.769759999996"/>
        <n v="16744.15875"/>
        <n v="33748.038555"/>
        <n v="24521.867328"/>
        <n v="18376.101408"/>
        <n v="34181.463904"/>
        <n v="25650.71565"/>
        <n v="17379.555984000002"/>
        <n v="12972.244128"/>
        <n v="23666.76963"/>
        <n v="16172.238720000001"/>
        <n v="10108.080607999998"/>
        <n v="5202.63266"/>
        <n v="3945.96678"/>
        <n v="26625.380095999997"/>
        <n v="42020.089759999995"/>
        <n v="9128.848488"/>
        <n v="4594.971528"/>
        <n v="8517.4216"/>
        <n v="11088.203895999999"/>
        <n v="21131.961176"/>
        <n v="25379.055324"/>
        <n v="21871.020045"/>
        <n v="1495.4795909999998"/>
        <n v="20269.26174"/>
        <n v="8222.067168"/>
        <n v="4052.405448"/>
        <n v="29313.167199999996"/>
        <n v="26775.821170000003"/>
        <n v="7310.428672"/>
        <n v="11674.0785"/>
        <n v="8749.832"/>
        <n v="20115.936576"/>
        <n v="15880.542912"/>
        <n v="3485.6403999999998"/>
        <n v="30978.2976"/>
        <n v="12273.08064"/>
        <n v="23668.793792999997"/>
        <n v="1025.5911389999999"/>
        <n v="10378.549775999998"/>
        <n v="18516.354740000002"/>
        <n v="6019.135715999999"/>
        <n v="20037.909276"/>
        <n v="18786.273792"/>
        <n v="3950.000535"/>
        <n v="33459.643272"/>
        <n v="3176.00694"/>
        <n v="11528.514479999998"/>
        <n v="11445.617095999998"/>
        <n v="13436.117937"/>
        <n v="16206.486239999998"/>
        <n v="4496.202737999999"/>
        <n v="15040.607472"/>
        <n v="5156.570499"/>
        <n v="26465.767019999996"/>
        <n v="8762.009035000001"/>
        <n v="2382.033654"/>
        <n v="6971.436054000002"/>
        <n v="25892.97503"/>
        <n v="33401.521440000004"/>
        <n v="12066.8492"/>
        <n v="6704.515019"/>
        <n v="24885.008319999997"/>
        <n v="28105.277400000003"/>
        <n v="2219.44383"/>
        <n v="22110.090072"/>
        <n v="32004.186719999998"/>
        <n v="1438.15044"/>
        <n v="24588.137871"/>
        <n v="6170.597928"/>
        <n v="34326.202176"/>
        <n v="840.502656"/>
        <n v="16138.874279999998"/>
        <n v="2868.2774000000004"/>
        <n v="10765.712128000001"/>
        <n v="3127.9671000000003"/>
        <n v="4659.959598"/>
        <n v="10255.333998000002"/>
        <n v="20571.360096"/>
        <n v="3617.3982720000004"/>
        <n v="19501.730866"/>
        <n v="11633.011012"/>
        <n v="2796.7711679999998"/>
        <n v="22429.80131"/>
        <n v="20745.884700000002"/>
        <n v="1736.29312"/>
        <n v="11758.389839999998"/>
        <n v="23908.546644000002"/>
        <n v="4980.584928"/>
        <n v="6147.244224"/>
        <n v="3148.7823000000003"/>
        <n v="442.46037300000006"/>
        <n v="10999.633536"/>
        <n v="18164.112624"/>
        <n v="8904.944927999999"/>
        <n v="3189.9878820000004"/>
        <n v="11657.99565"/>
        <n v="8381.339694"/>
        <n v="11381.419483"/>
        <n v="1474.1071200000001"/>
        <n v="7655.51475"/>
        <n v="17191.294984"/>
        <n v="19826.045424"/>
        <n v="8702.52525"/>
        <n v="20664.366846000004"/>
        <n v="9810.8955"/>
        <n v="2606.79848"/>
        <n v="15206.789000000002"/>
        <n v="7623.205392000002"/>
        <n v="14123.460252"/>
        <n v="6812.687750000001"/>
        <n v="7436.654568"/>
        <n v="6217.786212"/>
        <n v="6913.317248"/>
        <n v="13944.211200000002"/>
        <n v="5857.38054"/>
        <n v="13900.754555999998"/>
        <n v="16052.6223"/>
        <n v="15135.451759999998"/>
        <n v="3543.4423360000005"/>
        <n v="2037.8914399999996"/>
        <n v="11740.553568"/>
        <n v="13394.85795"/>
        <n v="687.9186319999999"/>
        <n v="3790.069470000001"/>
        <n v="2631.551454"/>
        <n v="729.83344"/>
        <n v="169.420152"/>
        <n v="12200.338824"/>
        <n v="12203.326976"/>
        <n v="5570.437554"/>
        <n v="7801.566849"/>
        <n v="14095.665192"/>
        <n v="7007.669164000001"/>
        <n v="5523.3900539999995"/>
        <n v="8144.6143440000005"/>
        <n v="6509.993490000001"/>
        <n v="7745.469759999998"/>
        <n v="14786.336160000003"/>
        <n v="5093.4421999999995"/>
        <n v="16052.406240000004"/>
        <n v="750.385083"/>
        <n v="12257.38868"/>
        <n v="14136.625733999997"/>
        <n v="1684.7846399999999"/>
        <n v="4885.632377999999"/>
        <n v="52.238285000000005"/>
        <n v="2234.6375760000005"/>
        <n v="3230.5123839999997"/>
        <n v="5439.83925"/>
        <n v="2471.704422"/>
        <n v="1907.5398839999998"/>
        <n v="11703.514368"/>
        <n v="5395.35789"/>
        <n v="1098.23252"/>
        <n v="1552.3617199999997"/>
        <n v="468.223168"/>
        <n v="1929.0342720000003"/>
        <n v="6245.77436"/>
        <n v="3758.2357960000004"/>
        <n v="151.00727199999997"/>
        <n v="7612.931143999999"/>
        <n v="7344.037125"/>
        <n v="4737.730725"/>
        <n v="1251.81728"/>
        <n v="4437.37172"/>
        <n v="2332.9593"/>
        <n v="4425.256703999999"/>
        <n v="627.287521"/>
        <n v="3069.3036239999997"/>
        <n v="270.674784"/>
        <n v="6270.7426319999995"/>
        <n v="2087.5900960000004"/>
        <n v="2544.5182310000005"/>
        <n v="3341.991744"/>
        <n v="2811.5186"/>
        <n v="2062.7400930000003"/>
        <n v="2453.687424"/>
        <n v="544.856544"/>
        <n v="2409.8907600000002"/>
        <n v="5579.321263999999"/>
        <n v="636.5522020000001"/>
        <n v="1988.7749"/>
        <n v="1397.8851599999998"/>
        <n v="921.5127"/>
        <n v="2320.3022039999996"/>
        <n v="495.9913199999999"/>
        <n v="319.6536"/>
        <n v="1587.4448879999998"/>
        <n v="1509.8281399999998"/>
        <n v="2381.9795999999997"/>
        <n v="852.7577759999999"/>
        <n v="289.349248"/>
        <n v="1430.556864"/>
        <n v="1040.599231"/>
        <n v="1067.171464"/>
        <n v="1136.978115"/>
        <n v="683.710335"/>
        <n v="564.078356"/>
      </sharedItems>
    </cacheField>
    <cacheField name="Cost" numFmtId="165">
      <sharedItems containsSemiMixedTypes="0" containsString="0" containsNumber="1">
        <n v="924.0"/>
        <n v="971.52"/>
        <n v="395.76"/>
        <n v="2348.1299999999997"/>
        <n v="299.75"/>
        <n v="1590.42"/>
        <n v="160.01999999999998"/>
        <n v="1412.76"/>
        <n v="478.54"/>
        <n v="543.1800000000001"/>
        <n v="2218.5"/>
        <n v="1287.72"/>
        <n v="161.98000000000002"/>
        <n v="307.69"/>
        <n v="303.59"/>
        <n v="3680.6400000000003"/>
        <n v="2247.63"/>
        <n v="1648.82"/>
        <n v="626.6199999999999"/>
        <n v="1588.2800000000002"/>
        <n v="274.08"/>
        <n v="2159.22"/>
        <n v="72.82"/>
        <n v="3321.6"/>
        <n v="1864.8"/>
        <n v="1259.18"/>
        <n v="529.62"/>
        <n v="4078.3600000000006"/>
        <n v="2102.89"/>
        <n v="6597.360000000001"/>
        <n v="4156.110000000001"/>
        <n v="635.58"/>
        <n v="2954.2999999999997"/>
        <n v="4451.04"/>
        <n v="1731.01"/>
        <n v="631.7"/>
        <n v="3191.25"/>
        <n v="4693.92"/>
        <n v="5712.92"/>
        <n v="5783.96"/>
        <n v="591.1200000000001"/>
        <n v="4506.0"/>
        <n v="1713.18"/>
        <n v="4898.5"/>
        <n v="2505.25"/>
        <n v="378.28"/>
        <n v="702.0"/>
        <n v="2040.57"/>
        <n v="4732.3"/>
        <n v="5717.36"/>
        <n v="13392.9"/>
        <n v="6744.06"/>
        <n v="3602.7000000000003"/>
        <n v="2044.28"/>
        <n v="1495.2"/>
        <n v="5630.94"/>
        <n v="674.4000000000001"/>
        <n v="1975.8"/>
        <n v="2577.6"/>
        <n v="4304.1"/>
        <n v="1602.3"/>
        <n v="7351.19"/>
        <n v="981.24"/>
        <n v="7703.080000000001"/>
        <n v="9831.36"/>
        <n v="10314.48"/>
        <n v="5816.72"/>
        <n v="9089.42"/>
        <n v="4162.7300000000005"/>
        <n v="7005.599999999999"/>
        <n v="2579.06"/>
        <n v="8212.36"/>
        <n v="715.6"/>
        <n v="8615.04"/>
        <n v="1175.04"/>
        <n v="11769.1"/>
        <n v="7197.3"/>
        <n v="8503.2"/>
        <n v="1571.1000000000001"/>
        <n v="7851.2"/>
        <n v="3832.3999999999996"/>
        <n v="1136.77"/>
        <n v="9165.880000000001"/>
        <n v="6363.0"/>
        <n v="6097.86"/>
        <n v="3449.6"/>
        <n v="8598.09"/>
        <n v="2074.17"/>
        <n v="4553.77"/>
        <n v="10716.749999999998"/>
        <n v="6564.32"/>
        <n v="2678.4"/>
        <n v="12604.0"/>
        <n v="1441.4399999999998"/>
        <n v="162.67"/>
        <n v="4077.2899999999995"/>
        <n v="2640.0"/>
        <n v="3905.4"/>
        <n v="535.92"/>
        <n v="22050.0"/>
        <n v="18985.23"/>
        <n v="16069.9"/>
        <n v="3624.7999999999997"/>
        <n v="4465.05"/>
        <n v="1860.1"/>
        <n v="15795.48"/>
        <n v="19206.969999999998"/>
        <n v="3216.0"/>
        <n v="12325.32"/>
        <n v="4266.54"/>
        <n v="12359.7"/>
        <n v="2565.15"/>
        <n v="13052.24"/>
        <n v="4293.450000000001"/>
        <n v="18167.57"/>
        <n v="14689.06"/>
        <n v="7504.17"/>
        <n v="5139.75"/>
        <n v="9584.41"/>
        <n v="3273.55"/>
        <n v="4166.4"/>
        <n v="3900.8199999999997"/>
        <n v="20887.49"/>
        <n v="3831.2999999999997"/>
        <n v="30110.079999999998"/>
        <n v="282.3"/>
        <n v="4916.8099999999995"/>
        <n v="6057.45"/>
        <n v="21203.28"/>
        <n v="16116.1"/>
        <n v="5646.96"/>
        <n v="20352.12"/>
        <n v="13075.76"/>
        <n v="5503.400000000001"/>
        <n v="5394.8"/>
        <n v="18246.870000000003"/>
        <n v="23372.25"/>
        <n v="26700.219999999998"/>
        <n v="4415.31"/>
        <n v="6348.99"/>
        <n v="19891.34"/>
        <n v="20563.5"/>
        <n v="15887.04"/>
        <n v="4894.08"/>
        <n v="2467.44"/>
        <n v="9067.18"/>
        <n v="28971.54"/>
        <n v="13826.58"/>
        <n v="14668.5"/>
        <n v="2176.1600000000003"/>
        <n v="10563.869999999999"/>
        <n v="6050.8"/>
        <n v="6029.45"/>
        <n v="10608.75"/>
        <n v="7299.59"/>
        <n v="6113.88"/>
        <n v="4134.34"/>
        <n v="12500.32"/>
        <n v="22422.89"/>
        <n v="1659.68"/>
        <n v="32039.37"/>
        <n v="33567.4"/>
        <n v="13111.14"/>
        <n v="2808.72"/>
        <n v="17182.34"/>
        <n v="15477.67"/>
        <n v="18676.8"/>
        <n v="10071.6"/>
        <n v="5001.5"/>
        <n v="1307.56"/>
        <n v="26040.6"/>
        <n v="184.55"/>
        <n v="35235.9"/>
        <n v="26045.469999999998"/>
        <n v="938.48"/>
        <n v="5002.2"/>
        <n v="15191.7"/>
        <n v="2403.9"/>
        <n v="20628.86"/>
        <n v="28133.2"/>
        <n v="6017.3"/>
        <n v="5125.32"/>
        <n v="1821.3600000000001"/>
        <n v="16324.0"/>
        <n v="9281.52"/>
        <n v="3610.16"/>
        <n v="5600.7"/>
        <n v="7054.42"/>
        <n v="23680.23"/>
        <n v="15300.4"/>
        <n v="12595.23"/>
        <n v="882.92"/>
        <n v="18705.6"/>
        <n v="6512.58"/>
        <n v="18274.69"/>
        <n v="8911.26"/>
        <n v="5499.900000000001"/>
        <n v="20235.600000000002"/>
        <n v="9041.4"/>
        <n v="27334.56"/>
        <n v="700.6"/>
        <n v="21250.55"/>
        <n v="979.95"/>
        <n v="18832.5"/>
        <n v="11359.88"/>
        <n v="30995.72"/>
        <n v="16456.34"/>
        <n v="4341.76"/>
        <n v="21594.59"/>
        <n v="36167.31"/>
        <n v="16377.84"/>
        <n v="29004.800000000003"/>
        <n v="15653.37"/>
        <n v="15503.04"/>
        <n v="18354.600000000002"/>
        <n v="3806.4"/>
        <n v="12602.699999999999"/>
        <n v="38273.799999999996"/>
        <n v="33682.74"/>
        <n v="13092.119999999999"/>
        <n v="7429.5199999999995"/>
        <n v="34231.36"/>
        <n v="3007.07"/>
        <n v="33016.06"/>
        <n v="3303.0"/>
        <n v="25375.719999999998"/>
        <n v="4492.92"/>
        <n v="13175.119999999999"/>
        <n v="3670.2599999999998"/>
        <n v="41524.5"/>
        <n v="18669.4"/>
        <n v="32816.96"/>
        <n v="35365.1"/>
        <n v="4215.44"/>
        <n v="8623.15"/>
        <n v="6212.18"/>
        <n v="1381.56"/>
        <n v="4616.099999999999"/>
        <n v="27936.75"/>
        <n v="21652.05"/>
        <n v="16745.079999999998"/>
        <n v="16052.000000000002"/>
        <n v="26793.45"/>
        <n v="12248.28"/>
        <n v="30932.0"/>
        <n v="14451.84"/>
        <n v="15265.740000000002"/>
        <n v="5312.08"/>
        <n v="2660.7"/>
        <n v="3665.97"/>
        <n v="16275.349999999999"/>
        <n v="41855.8"/>
        <n v="16420.620000000003"/>
        <n v="33821.96"/>
        <n v="34214.26"/>
        <n v="15878.160000000002"/>
        <n v="18356.3"/>
        <n v="26201.2"/>
        <n v="8238.6"/>
        <n v="18055.89"/>
        <n v="34222.32"/>
        <n v="23595.460000000003"/>
        <n v="7552.44"/>
        <n v="26931.890000000003"/>
        <n v="5321.68"/>
        <n v="32148.48"/>
        <n v="14239.400000000001"/>
        <n v="34242.75"/>
        <n v="8531.04"/>
        <n v="8224.11"/>
        <n v="15820.48"/>
        <n v="4328.28"/>
        <n v="24376.89"/>
        <n v="27502.3"/>
        <n v="34346.68"/>
        <n v="16689.64"/>
        <n v="24482.010000000002"/>
        <n v="10983.56"/>
        <n v="29337.1"/>
        <n v="8589.9"/>
        <n v="1781.46"/>
        <n v="11170.970000000001"/>
        <n v="35456.4"/>
        <n v="1309.62"/>
        <n v="28131.109999999997"/>
        <n v="15487.6"/>
        <n v="20487.02"/>
        <n v="37247.31"/>
        <n v="36446.299999999996"/>
        <n v="37702.6"/>
        <n v="45956.6"/>
        <n v="25746.329999999998"/>
        <n v="28759.05"/>
        <n v="12050.16"/>
        <n v="26430.95"/>
        <n v="43783.74"/>
        <n v="22117.15"/>
        <n v="28070.5"/>
        <n v="1632.0"/>
        <n v="8076.87"/>
        <n v="18237.45"/>
        <n v="31806.239999999998"/>
        <n v="14703.75"/>
        <n v="29665.140000000003"/>
        <n v="21736.2"/>
        <n v="16426.64"/>
        <n v="30921.94"/>
        <n v="23214.5"/>
        <n v="15785.349999999999"/>
        <n v="11927.869999999999"/>
        <n v="22173.66"/>
        <n v="15205.599999999999"/>
        <n v="9517.12"/>
        <n v="4936.13"/>
        <n v="3764.8500000000004"/>
        <n v="25495.68"/>
        <n v="40275.17"/>
        <n v="8757.119999999999"/>
        <n v="4421.5199999999995"/>
        <n v="8200.0"/>
        <n v="10774.599999999999"/>
        <n v="20560.89"/>
        <n v="24696.359999999997"/>
        <n v="21307.17"/>
        <n v="1457.3700000000001"/>
        <n v="19795.91"/>
        <n v="8071.28"/>
        <n v="4079.46"/>
        <n v="29599.55"/>
        <n v="27055.7"/>
        <n v="7398.72"/>
        <n v="11815.5"/>
        <n v="8876.56"/>
        <n v="20420.16"/>
        <n v="16283.669999999998"/>
        <n v="3615.9999999999995"/>
        <n v="32196.64"/>
        <n v="12774.6"/>
        <n v="25070.06"/>
        <n v="1090.98"/>
        <n v="11120.38"/>
        <n v="19905.08"/>
        <n v="6503.200000000001"/>
        <n v="22005.06"/>
        <n v="20885.920000000002"/>
        <n v="4407.42"/>
        <n v="37349.85"/>
        <n v="3553.05"/>
        <n v="13092.98"/>
        <n v="13017.590000000002"/>
        <n v="15315.99"/>
        <n v="18620.8"/>
        <n v="5220.400000000001"/>
        <n v="17506.26"/>
        <n v="6042.0"/>
        <n v="31075.949999999997"/>
        <n v="10389.97"/>
        <n v="2842.95"/>
        <n v="8337.45"/>
        <n v="31495.780000000002"/>
        <n v="40903.200000000004"/>
        <n v="14839.699999999999"/>
        <n v="8279.77"/>
        <n v="30758.72"/>
        <n v="35012.72"/>
        <n v="2794.9500000000003"/>
        <n v="28232.73"/>
        <n v="41228.0"/>
        <n v="1853.3000000000002"/>
        <n v="32244.649999999998"/>
        <n v="8117.56"/>
        <n v="45920.64"/>
        <n v="1129.36"/>
        <n v="21895.64"/>
        <n v="3909.1499999999996"/>
        <n v="14740.48"/>
        <n v="4332.7"/>
        <n v="6513.9800000000005"/>
        <n v="14359.800000000001"/>
        <n v="28946.25"/>
        <n v="5097.44"/>
        <n v="27944.71"/>
        <n v="16813.86"/>
        <n v="4121.76"/>
        <n v="33092.5"/>
        <n v="30929.25"/>
        <n v="2645.0"/>
        <n v="18088.93"/>
        <n v="36822.92"/>
        <n v="7745.6"/>
        <n v="9582.539999999999"/>
        <n v="4930.92"/>
        <n v="708.42"/>
        <n v="17664.0"/>
        <n v="29792.0"/>
        <n v="14719.04"/>
        <n v="5308.42"/>
        <n v="19498.5"/>
        <n v="14034.93"/>
        <n v="19100.69"/>
        <n v="2484.0"/>
        <n v="12936.3"/>
        <n v="29114.32"/>
        <n v="33640.56"/>
        <n v="14853.0"/>
        <n v="35402.04"/>
        <n v="16818.899999999998"/>
        <n v="4476.02"/>
        <n v="26163.5"/>
        <n v="13394.16"/>
        <n v="24915.32"/>
        <n v="12024.1"/>
        <n v="13226.640000000001"/>
        <n v="11181.39"/>
        <n v="13026.56"/>
        <n v="27025.2"/>
        <n v="11416.039999999999"/>
        <n v="27137.04"/>
        <n v="31433.16"/>
        <n v="30489.629999999997"/>
        <n v="7559.4400000000005"/>
        <n v="4460.400000000001"/>
        <n v="26437.68"/>
        <n v="30196.8"/>
        <n v="1562.48"/>
        <n v="8613.0"/>
        <n v="5985.0"/>
        <n v="1660.5500000000002"/>
        <n v="391.78"/>
        <n v="28748.519999999997"/>
        <n v="29079.04"/>
        <n v="13307.76"/>
        <n v="18743.01"/>
        <n v="33972.74"/>
        <n v="16965.68"/>
        <n v="14153.490000000002"/>
        <n v="21048.56"/>
        <n v="16857.2"/>
        <n v="20196.399999999998"/>
        <n v="39253.0"/>
        <n v="13921.619999999999"/>
        <n v="43992.0"/>
        <n v="2084.03"/>
        <n v="34950.12"/>
        <n v="40456.12"/>
        <n v="4847.59"/>
        <n v="14089.94"/>
        <n v="150.84"/>
        <n v="6631.57"/>
        <n v="9779.2"/>
        <n v="16803.0"/>
        <n v="7641.04"/>
        <n v="6055.92"/>
        <n v="38016.96"/>
        <n v="18691.620000000003"/>
        <n v="3840.1"/>
        <n v="5677.0"/>
        <n v="1736.36"/>
        <n v="7768.2"/>
        <n v="26666.5"/>
        <n v="16649.32"/>
        <n v="706.06"/>
        <n v="35690.2"/>
        <n v="35105.68"/>
        <n v="24186.5"/>
        <n v="6405.09"/>
        <n v="23017.55"/>
        <n v="12106.04"/>
        <n v="24210.239999999998"/>
        <n v="3462.02"/>
        <n v="17167.52"/>
        <n v="1524.48"/>
        <n v="35644.420000000006"/>
        <n v="12037.61"/>
        <n v="14832.19"/>
        <n v="19917.170000000002"/>
        <n v="18066.0"/>
        <n v="13259.94"/>
        <n v="15831.720000000001"/>
        <n v="3638.16"/>
        <n v="17790.48"/>
        <n v="41197.2"/>
        <n v="4764.32"/>
        <n v="15385.3"/>
        <n v="11068.359999999999"/>
        <n v="7359.750000000001"/>
        <n v="18610.37"/>
        <n v="4356.219999999999"/>
        <n v="2994.56"/>
        <n v="16218.779999999999"/>
        <n v="15571.66"/>
        <n v="26087.600000000002"/>
        <n v="10133.24"/>
        <n v="3564.39"/>
        <n v="18008.760000000002"/>
        <n v="16552.2"/>
        <n v="23329.18"/>
        <n v="25407.72"/>
        <n v="27296.89"/>
        <n v="24931.44"/>
      </sharedItems>
    </cacheField>
    <cacheField name="Profit" numFmtId="165">
      <sharedItems containsSemiMixedTypes="0" containsString="0" containsNumber="1">
        <n v="62642.25"/>
        <n v="32776.471872"/>
        <n v="12790.255488"/>
        <n v="62889.490770000004"/>
        <n v="7728.576625"/>
        <n v="39930.758556"/>
        <n v="3794.5646550000006"/>
        <n v="27933.222785"/>
        <n v="9252.038896999999"/>
        <n v="9846.877919999999"/>
        <n v="38257.496388"/>
        <n v="22034.412287999996"/>
        <n v="2247.30493"/>
        <n v="4108.343435000001"/>
        <n v="4020.963156"/>
        <n v="48351.955680000014"/>
        <n v="29357.682585"/>
        <n v="21221.689455999996"/>
        <n v="7866.357352"/>
        <n v="18471.03914"/>
        <n v="3079.4903999999997"/>
        <n v="24156.299999999996"/>
        <n v="769.6790600000002"/>
        <n v="32482.58556"/>
        <n v="17986.560165"/>
        <n v="12122.315055999998"/>
        <n v="5071.732448999999"/>
        <n v="37639.737512"/>
        <n v="19378.5639"/>
        <n v="60648.853776"/>
        <n v="38131.61094900001"/>
        <n v="5710.0824"/>
        <n v="26290.413102000002"/>
        <n v="39284.843498999995"/>
        <n v="14727.317225"/>
        <n v="5306.74669"/>
        <n v="26796.905549999996"/>
        <n v="38634.137760000005"/>
        <n v="44464.821896"/>
        <n v="42132.19628800001"/>
        <n v="4213.393056000002"/>
        <n v="29331.873524999995"/>
        <n v="10681.128696"/>
        <n v="30013.563557"/>
        <n v="15344.0318"/>
        <n v="2310.1141069999994"/>
        <n v="4284.51504"/>
        <n v="11896.764208000002"/>
        <n v="26399.80488"/>
        <n v="30673.131104"/>
        <n v="71371.32660000001"/>
        <n v="35627.66313300001"/>
        <n v="18944.208"/>
        <n v="10712.982112"/>
        <n v="7690.4052"/>
        <n v="28850.110883999998"/>
        <n v="3415.715988"/>
        <n v="10001.387193999999"/>
        <n v="12921.205680000001"/>
        <n v="21487.02261"/>
        <n v="7872.081448"/>
        <n v="35365.77983400001"/>
        <n v="4716.420279999999"/>
        <n v="36984.917354"/>
        <n v="44185.92683999999"/>
        <n v="46174.034346"/>
        <n v="24974.866297999997"/>
        <n v="38839.799104000005"/>
        <n v="16936.807997999997"/>
        <n v="28038.074688"/>
        <n v="10139.985482"/>
        <n v="32254.381520000003"/>
        <n v="2762.6295999999998"/>
        <n v="32927.436799999996"/>
        <n v="4432.93668"/>
        <n v="43532.813239999996"/>
        <n v="25880.765394000005"/>
        <n v="30434.543939999992"/>
        <n v="5596.44584"/>
        <n v="27792.803989999997"/>
        <n v="13195.88732"/>
        <n v="3856.963786"/>
        <n v="30849.595015999996"/>
        <n v="20366.902799999996"/>
        <n v="19452.396992"/>
        <n v="10967.03811"/>
        <n v="27260.309471999997"/>
        <n v="6573.03946"/>
        <n v="14377.436873000002"/>
        <n v="32684.243774999995"/>
        <n v="19863.086488"/>
        <n v="7987.2378880000015"/>
        <n v="37343.117952"/>
        <n v="4121.749296"/>
        <n v="458.596272"/>
        <n v="11123.433944000002"/>
        <n v="6972.114899999999"/>
        <n v="10237.503840000001"/>
        <n v="1349.3758320000002"/>
        <n v="54186.70439"/>
        <n v="46347.441227999996"/>
        <n v="37537.52982"/>
        <n v="8388.310220000001"/>
        <n v="10127.615139000001"/>
        <n v="4183.8954300000005"/>
        <n v="35276.16112800001"/>
        <n v="42455.67052500001"/>
        <n v="6994.715840000001"/>
        <n v="25775.632377"/>
        <n v="8885.813076000002"/>
        <n v="25587.393029999996"/>
        <n v="5235.033894999999"/>
        <n v="25870.167616000006"/>
        <n v="8356.352789999999"/>
        <n v="35292.382625000006"/>
        <n v="28450.2462"/>
        <n v="13971.568188000003"/>
        <n v="9526.153000000002"/>
        <n v="17695.657735"/>
        <n v="5957.406875"/>
        <n v="7476.254016000001"/>
        <n v="6804.569695"/>
        <n v="36339.91864"/>
        <n v="6594.768180000003"/>
        <n v="51403.574404"/>
        <n v="480.91533"/>
        <n v="8336.258646999999"/>
        <n v="10161.622674000002"/>
        <n v="35514.864"/>
        <n v="26578.127576000006"/>
        <n v="9307.140168000002"/>
        <n v="32476.331910000004"/>
        <n v="20508.379464999998"/>
        <n v="8531.410383999999"/>
        <n v="8181.206399999998"/>
        <n v="27570.708719999995"/>
        <n v="34922.888849999996"/>
        <n v="39159.457362"/>
        <n v="6472.809684000001"/>
        <n v="9281.809872"/>
        <n v="28983.46979"/>
        <n v="29690.7633"/>
        <n v="22844.611200000007"/>
        <n v="7029.11616"/>
        <n v="3521.587040000001"/>
        <n v="12824.940795999999"/>
        <n v="40913.580630000004"/>
        <n v="19097.01444"/>
        <n v="20108.19294"/>
        <n v="2965.331199999999"/>
        <n v="14205.627929999999"/>
        <n v="8072.465744"/>
        <n v="7932.051952000001"/>
        <n v="13915.176960000004"/>
        <n v="9480.714800000002"/>
        <n v="7932.710016"/>
        <n v="5204.09008"/>
        <n v="15682.823855999999"/>
        <n v="27786.588802"/>
        <n v="2016.7340799999995"/>
        <n v="37831.97295899999"/>
        <n v="39177.136699999995"/>
        <n v="15302.209398000003"/>
        <n v="3274.7851349999987"/>
        <n v="19862.517842999998"/>
        <n v="17798.673548"/>
        <n v="21274.734080000006"/>
        <n v="11192.631879999999"/>
        <n v="5544.615132000001"/>
        <n v="1448.3593600000004"/>
        <n v="27998.512122000007"/>
        <n v="196.68724599999996"/>
        <n v="37203.90074999999"/>
        <n v="26871.657315000008"/>
        <n v="955.8180560000001"/>
        <n v="5005.0167299999985"/>
        <n v="14788.418034999999"/>
        <n v="2331.4038480000004"/>
        <n v="19687.277212"/>
        <n v="26698.364588"/>
        <n v="5632.505919999999"/>
        <n v="4675.194024"/>
        <n v="1633.764431999999"/>
        <n v="14642.279750000002"/>
        <n v="8227.105092000002"/>
        <n v="3127.76"/>
        <n v="4673.269799999999"/>
        <n v="5821.045424"/>
        <n v="19524.112272000002"/>
        <n v="12586.005599999995"/>
        <n v="10358.324496000001"/>
        <n v="717.0770880000001"/>
        <n v="15001.940159999998"/>
        <n v="5202.426996"/>
        <n v="14549.368067000007"/>
        <n v="7060.420871999997"/>
        <n v="4356.386387999998"/>
        <n v="15844.883010000001"/>
        <n v="7011.179100000001"/>
        <n v="20787.606449999996"/>
        <n v="531.58081"/>
        <n v="15951.06221"/>
        <n v="727.2218399999997"/>
        <n v="13773.602718000002"/>
        <n v="8229.728556000004"/>
        <n v="22296.10726399999"/>
        <n v="11833.53642"/>
        <n v="3109.5175259999996"/>
        <n v="15448.681599"/>
        <n v="25325.192295000008"/>
        <n v="11466.113976"/>
        <n v="20063.480184"/>
        <n v="10685.391441000002"/>
        <n v="10245.694367999997"/>
        <n v="12127.447529999998"/>
        <n v="2466.0930060000005"/>
        <n v="8153.690622"/>
        <n v="24611.651230000003"/>
        <n v="21118.602024000007"/>
        <n v="8107.016592"/>
        <n v="4533.880736"/>
        <n v="20019.022624000005"/>
        <n v="1711.9563999999996"/>
        <n v="18378.717279999997"/>
        <n v="1787.7107800000003"/>
        <n v="13691.479894"/>
        <n v="2363.5330319999994"/>
        <n v="6848.173213000002"/>
        <n v="1864.6821270000014"/>
        <n v="21024.88775999999"/>
        <n v="9043.55806"/>
        <n v="15640.667591999998"/>
        <n v="16661.914208000002"/>
        <n v="1953.877375000001"/>
        <n v="3967.4368159999995"/>
        <n v="2820.245428"/>
        <n v="616.1214000000002"/>
        <n v="2041.749100000001"/>
        <n v="12262.177049999998"/>
        <n v="9449.200236"/>
        <n v="7169.3655"/>
        <n v="6869.545899999999"/>
        <n v="11186.042430000005"/>
        <n v="5073.471523999999"/>
        <n v="12786.394280000008"/>
        <n v="5886.866376000002"/>
        <n v="6073.248048000001"/>
        <n v="2083.479104"/>
        <n v="1034.5584900000003"/>
        <n v="1408.569249999999"/>
        <n v="6251.027230000003"/>
        <n v="15892.171176000003"/>
        <n v="6178.137455999997"/>
        <n v="12720.448263999991"/>
        <n v="12635.470555"/>
        <n v="5858.454167999998"/>
        <n v="6696.532339999998"/>
        <n v="9520.769599999996"/>
        <n v="2921.0780160000013"/>
        <n v="6359.290784999997"/>
        <n v="11966.223338999996"/>
        <n v="8076.061419999998"/>
        <n v="2575.021428000001"/>
        <n v="8959.052827999996"/>
        <n v="1758.3041839999996"/>
        <n v="10586.460516000003"/>
        <n v="4682.455679999999"/>
        <n v="11020.894653000003"/>
        <n v="2731.263863999997"/>
        <n v="2591.063712000001"/>
        <n v="4941.345280000001"/>
        <n v="1303.630368"/>
        <n v="7292.617437000004"/>
        <n v="7919.3161599999985"/>
        <n v="9623.572687999993"/>
        <n v="4624.967168000003"/>
        <n v="6775.408859999996"/>
        <n v="3031.8700160000026"/>
        <n v="8055.049339999998"/>
        <n v="2323.0406999999996"/>
        <n v="479.8754819999999"/>
        <n v="2948.5949199999995"/>
        <n v="9315.478800000004"/>
        <n v="338.5636800000002"/>
        <n v="7259.310395000004"/>
        <n v="3915.808772000002"/>
        <n v="5105.576064000001"/>
        <n v="9156.392864999994"/>
        <n v="8309.41980000001"/>
        <n v="8536.563600000001"/>
        <n v="10082.187610000008"/>
        <n v="5464.75188"/>
        <n v="5999.916401999999"/>
        <n v="2504.6944799999983"/>
        <n v="5174.678795"/>
        <n v="8087.335984000005"/>
        <n v="3970.813000000002"/>
        <n v="4986.416464000002"/>
        <n v="277.04881999999975"/>
        <n v="1298.037958"/>
        <n v="2784.7110060000014"/>
        <n v="4515.529759999998"/>
        <n v="2040.4087499999987"/>
        <n v="4082.898554999996"/>
        <n v="2785.6673279999995"/>
        <n v="1949.4614079999992"/>
        <n v="3259.523903999998"/>
        <n v="2436.2156499999983"/>
        <n v="1594.2059840000038"/>
        <n v="1044.3741280000013"/>
        <n v="1493.109629999999"/>
        <n v="966.6387200000026"/>
        <n v="590.9606079999976"/>
        <n v="266.5026600000001"/>
        <n v="181.11677999999984"/>
        <n v="1129.7000959999968"/>
        <n v="1744.919759999997"/>
        <n v="371.72848800000065"/>
        <n v="173.4515280000005"/>
        <n v="317.42159999999967"/>
        <n v="313.60389600000053"/>
        <n v="571.0711760000013"/>
        <n v="682.6953240000039"/>
        <n v="563.8500450000029"/>
        <n v="38.10959099999968"/>
        <n v="473.3517400000019"/>
        <n v="150.78716799999984"/>
        <n v="-27.054552000000058"/>
        <n v="-286.38280000000304"/>
        <n v="-279.87882999999783"/>
        <n v="-88.29132800000025"/>
        <n v="-141.42150000000038"/>
        <n v="-126.72799999999916"/>
        <n v="-304.2234239999998"/>
        <n v="-403.12708799999746"/>
        <n v="-130.35959999999977"/>
        <n v="-1218.3423999999977"/>
        <n v="-501.51936000000023"/>
        <n v="-1401.2662070000042"/>
        <n v="-65.38886100000013"/>
        <n v="-741.8302240000012"/>
        <n v="-1388.7252599999993"/>
        <n v="-484.06428400000186"/>
        <n v="-1967.1507240000028"/>
        <n v="-2099.646208000002"/>
        <n v="-457.41946499999995"/>
        <n v="-3890.2067279999974"/>
        <n v="-377.04305999999997"/>
        <n v="-1564.4655200000016"/>
        <n v="-1571.9729040000038"/>
        <n v="-1879.872062999999"/>
        <n v="-2414.313760000001"/>
        <n v="-724.1972620000015"/>
        <n v="-2465.6525279999987"/>
        <n v="-885.4295009999996"/>
        <n v="-4610.182980000001"/>
        <n v="-1627.9609649999984"/>
        <n v="-460.916346"/>
        <n v="-1366.0139459999991"/>
        <n v="-5602.804970000001"/>
        <n v="-7501.67856"/>
        <n v="-2772.8507999999983"/>
        <n v="-1575.254981"/>
        <n v="-5873.711680000004"/>
        <n v="-6907.4425999999985"/>
        <n v="-575.5061700000001"/>
        <n v="-6122.6399280000005"/>
        <n v="-9223.813280000002"/>
        <n v="-415.1495600000003"/>
        <n v="-7656.512128999999"/>
        <n v="-1946.9620720000003"/>
        <n v="-11594.437824"/>
        <n v="-288.8573439999999"/>
        <n v="-5756.765720000001"/>
        <n v="-1040.8725999999992"/>
        <n v="-3974.7678719999985"/>
        <n v="-1204.7328999999995"/>
        <n v="-1854.020402"/>
        <n v="-4104.466001999999"/>
        <n v="-8374.889904"/>
        <n v="-1480.0417279999992"/>
        <n v="-8442.979133999997"/>
        <n v="-5180.848988"/>
        <n v="-1324.9888320000005"/>
        <n v="-10662.698690000001"/>
        <n v="-10183.365299999998"/>
        <n v="-908.70688"/>
        <n v="-6330.540160000002"/>
        <n v="-12914.373355999996"/>
        <n v="-2765.015072"/>
        <n v="-3435.295775999999"/>
        <n v="-1782.1376999999998"/>
        <n v="-265.9596269999999"/>
        <n v="-6664.366464000001"/>
        <n v="-11627.887375999999"/>
        <n v="-5814.095072000002"/>
        <n v="-2118.4321179999997"/>
        <n v="-7840.504349999999"/>
        <n v="-5653.590306"/>
        <n v="-7719.270516999999"/>
        <n v="-1009.8928799999999"/>
        <n v="-5280.785249999999"/>
        <n v="-11923.025016"/>
        <n v="-13814.514575999998"/>
        <n v="-6150.474749999999"/>
        <n v="-14737.673153999996"/>
        <n v="-7008.004499999997"/>
        <n v="-1869.2215200000005"/>
        <n v="-10956.710999999998"/>
        <n v="-5770.954607999998"/>
        <n v="-10791.859747999999"/>
        <n v="-5211.412249999999"/>
        <n v="-5789.985432000001"/>
        <n v="-4963.603787999999"/>
        <n v="-6113.242751999999"/>
        <n v="-13080.9888"/>
        <n v="-5558.659459999999"/>
        <n v="-13236.285444000003"/>
        <n v="-15380.537699999999"/>
        <n v="-15354.17824"/>
        <n v="-4015.997664"/>
        <n v="-2422.508560000001"/>
        <n v="-14697.126432000001"/>
        <n v="-16801.942049999998"/>
        <n v="-874.5613680000001"/>
        <n v="-4822.93053"/>
        <n v="-3353.448546"/>
        <n v="-930.7165600000002"/>
        <n v="-222.35984799999997"/>
        <n v="-16548.181176"/>
        <n v="-16875.713024"/>
        <n v="-7737.322446"/>
        <n v="-10941.443151"/>
        <n v="-19877.074807999998"/>
        <n v="-9958.010836"/>
        <n v="-8630.099946000002"/>
        <n v="-12903.945656"/>
        <n v="-10347.20651"/>
        <n v="-12450.93024"/>
        <n v="-24466.663839999997"/>
        <n v="-8828.1778"/>
        <n v="-27939.593759999996"/>
        <n v="-1333.644917"/>
        <n v="-22692.731320000003"/>
        <n v="-26319.494266000005"/>
        <n v="-3162.8053600000003"/>
        <n v="-9204.307622"/>
        <n v="-98.601715"/>
        <n v="-4396.932423999999"/>
        <n v="-6548.687616000001"/>
        <n v="-11363.16075"/>
        <n v="-5169.335578"/>
        <n v="-4148.380116"/>
        <n v="-26313.445632"/>
        <n v="-13296.262110000003"/>
        <n v="-2741.86748"/>
        <n v="-4124.63828"/>
        <n v="-1268.136832"/>
        <n v="-5839.165728"/>
        <n v="-20420.72564"/>
        <n v="-12891.084203999999"/>
        <n v="-555.052728"/>
        <n v="-28077.268856"/>
        <n v="-27761.642875"/>
        <n v="-19448.769275"/>
        <n v="-5153.27272"/>
        <n v="-18580.17828"/>
        <n v="-9773.0807"/>
        <n v="-19784.983296"/>
        <n v="-2834.7324790000002"/>
        <n v="-14098.216376"/>
        <n v="-1253.805216"/>
        <n v="-29373.677368000004"/>
        <n v="-9950.019904"/>
        <n v="-12287.671769"/>
        <n v="-16575.178256000003"/>
        <n v="-15254.4814"/>
        <n v="-11197.199907"/>
        <n v="-13378.032576000001"/>
        <n v="-3093.3034559999996"/>
        <n v="-15380.58924"/>
        <n v="-35617.878736"/>
        <n v="-4127.767798"/>
        <n v="-13396.525099999999"/>
        <n v="-9670.474839999999"/>
        <n v="-6438.237300000001"/>
        <n v="-16290.067796"/>
        <n v="-3860.2286799999993"/>
        <n v="-2674.9064"/>
        <n v="-14631.335111999999"/>
        <n v="-14061.83186"/>
        <n v="-23705.620400000003"/>
        <n v="-9280.482224"/>
        <n v="-3275.040752"/>
        <n v="-16578.203136000004"/>
        <n v="-15511.600769"/>
        <n v="-22262.008536"/>
        <n v="-24270.741885000003"/>
        <n v="-26613.179665"/>
        <n v="-24367.361643999997"/>
      </sharedItems>
    </cacheField>
    <cacheField name="Profit Margin(%)" numFmtId="166">
      <sharedItems containsSemiMixedTypes="0" containsString="0" containsNumber="1">
        <n v="0.9854639844256976"/>
        <n v="0.9712125093639706"/>
        <n v="0.9699863844115636"/>
        <n v="0.9640065046473951"/>
        <n v="0.962663452298193"/>
        <n v="0.9616961739692677"/>
        <n v="0.9595355735278854"/>
        <n v="0.951858487400118"/>
        <n v="0.9508210143440142"/>
        <n v="0.9477211768998492"/>
        <n v="0.9451897371782125"/>
        <n v="0.9447854945637807"/>
        <n v="0.9327684334953276"/>
        <n v="0.9303243500012134"/>
        <n v="0.9297985273741424"/>
        <n v="0.929262802443378"/>
        <n v="0.9288844242892654"/>
        <n v="0.9279062845901127"/>
        <n v="0.9262190426243821"/>
        <n v="0.9208208419779895"/>
        <n v="0.9182721794061637"/>
        <n v="0.9179487997957099"/>
        <n v="0.913566669142634"/>
        <n v="0.9072287234565433"/>
        <n v="0.9060618524624909"/>
        <n v="0.9059013963140532"/>
        <n v="0.9054478351751366"/>
        <n v="0.9022400290706718"/>
        <n v="0.9021067191359893"/>
        <n v="0.9018924690395791"/>
        <n v="0.9017182788116587"/>
        <n v="0.8998402436284666"/>
        <n v="0.8989800313753818"/>
        <n v="0.8982291051671158"/>
        <n v="0.8948246698260673"/>
        <n v="0.8936253816905108"/>
        <n v="0.8935829849662095"/>
        <n v="0.891665580165161"/>
        <n v="0.8861463313386884"/>
        <n v="0.8792899838368605"/>
        <n v="0.8769656793289814"/>
        <n v="0.8668356037009568"/>
        <n v="0.8617768814687589"/>
        <n v="0.8596903333427327"/>
        <n v="0.859644212687594"/>
        <n v="0.8592914636231941"/>
        <n v="0.8592203183247593"/>
        <n v="0.8535896485262787"/>
        <n v="0.8479929314692711"/>
        <n v="0.8428886275906412"/>
        <n v="0.8419982044642405"/>
        <n v="0.8408358333969294"/>
        <n v="0.8402131236797524"/>
        <n v="0.8397555853244508"/>
        <n v="0.837223572378225"/>
        <n v="0.8366946524065226"/>
        <n v="0.8351147004195911"/>
        <n v="0.8350363931032337"/>
        <n v="0.8336904111697979"/>
        <n v="0.8331169966858607"/>
        <n v="0.8308807800494207"/>
        <n v="0.8279093758624021"/>
        <n v="0.8277819399930949"/>
        <n v="0.8276253030768115"/>
        <n v="0.817996042098141"/>
        <n v="0.8174057130123413"/>
        <n v="0.8110938506478371"/>
        <n v="0.810357436029217"/>
        <n v="0.80270989817907"/>
        <n v="0.8000894580156879"/>
        <n v="0.7972284945713979"/>
        <n v="0.797059024484559"/>
        <n v="0.7942631504257224"/>
        <n v="0.7926209349173904"/>
        <n v="0.7904698847642141"/>
        <n v="0.7871845780646992"/>
        <n v="0.7824147236462774"/>
        <n v="0.7816206297647146"/>
        <n v="0.7808036341766877"/>
        <n v="0.7797329390322515"/>
        <n v="0.7749391980543584"/>
        <n v="0.7723607127021969"/>
        <n v="0.7709416170535257"/>
        <n v="0.7619519963237577"/>
        <n v="0.7613386040731688"/>
        <n v="0.7607209133170091"/>
        <n v="0.7602210325445838"/>
        <n v="0.7601341785931481"/>
        <n v="0.7594569627520863"/>
        <n v="0.7530759305752786"/>
        <n v="0.7516093755556117"/>
        <n v="0.7488757795711881"/>
        <n v="0.747653107590459"/>
        <n v="0.74089682674713"/>
        <n v="0.7381637997563789"/>
        <n v="0.7317700120717356"/>
        <n v="0.7253466040028298"/>
        <n v="0.7238615178196672"/>
        <n v="0.7157369199551702"/>
        <n v="0.7107692393522154"/>
        <n v="0.7094067999493736"/>
        <n v="0.700229985769536"/>
        <n v="0.6982629865523702"/>
        <n v="0.6940209374045858"/>
        <n v="0.69224000554878"/>
        <n v="0.6907191613362874"/>
        <n v="0.6885152851634229"/>
        <n v="0.6850367740720518"/>
        <n v="0.6765088736353925"/>
        <n v="0.6756063363455892"/>
        <n v="0.674291256243825"/>
        <n v="0.6711423686248873"/>
        <n v="0.6646600043663651"/>
        <n v="0.6605915466607839"/>
        <n v="0.6601648690667915"/>
        <n v="0.659497073691927"/>
        <n v="0.650574525806377"/>
        <n v="0.6495442524064151"/>
        <n v="0.6486661949265135"/>
        <n v="0.6453726255762624"/>
        <n v="0.6421434499149168"/>
        <n v="0.6356209244935852"/>
        <n v="0.6350089843942304"/>
        <n v="0.6325268611469987"/>
        <n v="0.6306130522529676"/>
        <n v="0.630117492529926"/>
        <n v="0.6290059207447792"/>
        <n v="0.6265230373059244"/>
        <n v="0.6261640719414232"/>
        <n v="0.6225227410119617"/>
        <n v="0.6223804885242227"/>
        <n v="0.6147507779582028"/>
        <n v="0.6106566906790326"/>
        <n v="0.6078750015551332"/>
        <n v="0.602622461934019"/>
        <n v="0.6017495793151768"/>
        <n v="0.5990703434099462"/>
        <n v="0.5945892681307666"/>
        <n v="0.5944837007542946"/>
        <n v="0.5938154123914562"/>
        <n v="0.5930144774891819"/>
        <n v="0.5908108357445566"/>
        <n v="0.5898176424763425"/>
        <n v="0.5895328790766116"/>
        <n v="0.5880065353653838"/>
        <n v="0.5858245035055396"/>
        <n v="0.5854405095272425"/>
        <n v="0.5800403863801209"/>
        <n v="0.5782088876217337"/>
        <n v="0.5767453613457512"/>
        <n v="0.5735129541238949"/>
        <n v="0.5715721767417308"/>
        <n v="0.5681374381689447"/>
        <n v="0.5674122656904211"/>
        <n v="0.5649906192407185"/>
        <n v="0.5647427601264161"/>
        <n v="0.5572767623056402"/>
        <n v="0.5564611221562222"/>
        <n v="0.5534132093180217"/>
        <n v="0.5485601012604108"/>
        <n v="0.5414519223023884"/>
        <n v="0.538557786979486"/>
        <n v="0.53855704175014"/>
        <n v="0.5383056416208646"/>
        <n v="0.5361747621540198"/>
        <n v="0.5348746782327817"/>
        <n v="0.532513571003279"/>
        <n v="0.5263595667674782"/>
        <n v="0.5257495355020367"/>
        <n v="0.5255448983819324"/>
        <n v="0.5181156947728877"/>
        <n v="0.5159182321865791"/>
        <n v="0.513583697978352"/>
        <n v="0.5078064263587284"/>
        <n v="0.5045763801385647"/>
        <n v="0.5001407349353969"/>
        <n v="0.49327417649708394"/>
        <n v="0.492345142537092"/>
        <n v="0.48832250739885197"/>
        <n v="0.48691597237119494"/>
        <n v="0.4834849574901759"/>
        <n v="0.47703559349551933"/>
        <n v="0.4728525597714275"/>
        <n v="0.47284594301322236"/>
        <n v="0.4698887004987679"/>
        <n v="0.46420260258358664"/>
        <n v="0.45486505128718596"/>
        <n v="0.45210368963824105"/>
        <n v="0.4519016201909234"/>
        <n v="0.4513312249894263"/>
        <n v="0.4512732220974792"/>
        <n v="0.4481739956766722"/>
        <n v="0.4450618493307463"/>
        <n v="0.444082278207459"/>
        <n v="0.44325317842486267"/>
        <n v="0.44205872434989874"/>
        <n v="0.44199064602098886"/>
        <n v="0.43915384962026316"/>
        <n v="0.4367634045796417"/>
        <n v="0.4319756981764065"/>
        <n v="0.43141461519758617"/>
        <n v="0.4287734122907788"/>
        <n v="0.4259804566598286"/>
        <n v="0.4224240730983273"/>
        <n v="0.42010684044420893"/>
        <n v="0.418377608888288"/>
        <n v="0.41829579756078694"/>
        <n v="0.41731334192691827"/>
        <n v="0.4170442007993982"/>
        <n v="0.41184195389393374"/>
        <n v="0.4117990564803827"/>
        <n v="0.40888900342062984"/>
        <n v="0.4056907332159773"/>
        <n v="0.3979106010248464"/>
        <n v="0.3978554104039217"/>
        <n v="0.39315994511927566"/>
        <n v="0.3928279617824202"/>
        <n v="0.3913727380278194"/>
        <n v="0.3853665119140916"/>
        <n v="0.3824220178410179"/>
        <n v="0.3789792581599935"/>
        <n v="0.3690116392864614"/>
        <n v="0.3627774576552485"/>
        <n v="0.3575989283866783"/>
        <n v="0.35117115413891187"/>
        <n v="0.35045971892402655"/>
        <n v="0.34471657881547046"/>
        <n v="0.3420103346713151"/>
        <n v="0.3368927956633721"/>
        <n v="0.3361325907884473"/>
        <n v="0.32632958345407315"/>
        <n v="0.32276998213140257"/>
        <n v="0.3202550532957158"/>
        <n v="0.3167088441450138"/>
        <n v="0.315111350565346"/>
        <n v="0.312235672520185"/>
        <n v="0.3084182492763862"/>
        <n v="0.30666797479684554"/>
        <n v="0.3050374213905791"/>
        <n v="0.3038205912720016"/>
        <n v="0.2997922531801961"/>
        <n v="0.29969819356730204"/>
        <n v="0.2945284866725641"/>
        <n v="0.2928959878549519"/>
        <n v="0.2924717270746021"/>
        <n v="0.2894415341452885"/>
        <n v="0.2846080626850164"/>
        <n v="0.2817202965592039"/>
        <n v="0.2799691801804101"/>
        <n v="0.27757579173320995"/>
        <n v="0.27749811548370323"/>
        <n v="0.27519877932274045"/>
        <n v="0.2733839445831874"/>
        <n v="0.2733087680346595"/>
        <n v="0.26970209658231403"/>
        <n v="0.2695200882124798"/>
        <n v="0.26729641779097935"/>
        <n v="0.26652420643681407"/>
        <n v="0.26175289392865586"/>
        <n v="0.26046461998376713"/>
        <n v="0.25907340812144936"/>
        <n v="0.2549944258408789"/>
        <n v="0.2542612920628544"/>
        <n v="0.24961876512786035"/>
        <n v="0.24834860337309472"/>
        <n v="0.24772376861122392"/>
        <n v="0.24746281544411394"/>
        <n v="0.24348226346968627"/>
        <n v="0.24251377844017274"/>
        <n v="0.2395767077809467"/>
        <n v="0.2380014865436726"/>
        <n v="0.23147214405383806"/>
        <n v="0.2302725248097771"/>
        <n v="0.22357297657532968"/>
        <n v="0.21886553066424339"/>
        <n v="0.2169858037516895"/>
        <n v="0.21676162354756878"/>
        <n v="0.2163237241054197"/>
        <n v="0.21542086994670734"/>
        <n v="0.21287027611173584"/>
        <n v="0.21220888533336157"/>
        <n v="0.20883043753164027"/>
        <n v="0.20806539840807403"/>
        <n v="0.20541623127830036"/>
        <n v="0.2051207731916518"/>
        <n v="0.2018103529133856"/>
        <n v="0.19949426198234707"/>
        <n v="0.19732030634792738"/>
        <n v="0.18566162799151337"/>
        <n v="0.18461760411254502"/>
        <n v="0.17991444925908537"/>
        <n v="0.17509011385798204"/>
        <n v="0.17261492567439432"/>
        <n v="0.17208653535091878"/>
        <n v="0.16372649405471193"/>
        <n v="0.1559122464799959"/>
        <n v="0.15220862587086625"/>
        <n v="0.15084336342835736"/>
        <n v="0.14512400997686364"/>
        <n v="0.13845874154874555"/>
        <n v="0.13246549701551655"/>
        <n v="0.12432020217728505"/>
        <n v="0.12185794344550148"/>
        <n v="0.12098180308600741"/>
        <n v="0.11359931487840727"/>
        <n v="0.10608677894818894"/>
        <n v="0.09535940043862663"/>
        <n v="0.09497651774093868"/>
        <n v="0.09172880972722575"/>
        <n v="0.0805083621380334"/>
        <n v="0.0630888648236696"/>
        <n v="0.05977148474840239"/>
        <n v="0.058464176426559586"/>
        <n v="0.051224577519951235"/>
        <n v="0.045899215603634615"/>
        <n v="0.042429444835220015"/>
        <n v="0.041525845612567704"/>
        <n v="0.04072019471991928"/>
        <n v="0.037748118120657155"/>
        <n v="0.03726733451823022"/>
        <n v="0.028282659566995445"/>
        <n v="0.027024050027527897"/>
        <n v="0.026899950186656675"/>
        <n v="0.025780692616982275"/>
        <n v="0.025483190295172466"/>
        <n v="0.023353181091241945"/>
        <n v="0.01833932573390525"/>
        <n v="-0.006676171066089254"/>
        <n v="-0.009769766536862078"/>
        <n v="-0.010452670273790815"/>
        <n v="-0.012077448801076305"/>
        <n v="-0.012114146739719146"/>
        <n v="-0.014483478082779092"/>
        <n v="-0.015123502843161867"/>
        <n v="-0.025384968904015103"/>
        <n v="-0.037399038638638624"/>
        <n v="-0.03932890101746578"/>
        <n v="-0.040863363870148925"/>
        <n v="-0.05920311019036493"/>
        <n v="-0.06375724059371006"/>
        <n v="-0.0714772526037747"/>
        <n v="-0.07499992733450941"/>
        <n v="-0.0804208954307622"/>
        <n v="-0.09817145575941487"/>
        <n v="-0.11176491044722883"/>
        <n v="-0.11580238051790541"/>
        <n v="-0.11626563667686902"/>
        <n v="-0.11871606930430698"/>
        <n v="-0.13570399921985454"/>
        <n v="-0.13734278290240684"/>
        <n v="-0.13991184595241313"/>
        <n v="-0.14897206737146504"/>
        <n v="-0.161068640406135"/>
        <n v="-0.16393304144065485"/>
        <n v="-0.17170898781888244"/>
        <n v="-0.1741941949581933"/>
        <n v="-0.18579768161583485"/>
        <n v="-0.19349699162562714"/>
        <n v="-0.19594441309064595"/>
        <n v="-0.21638320677745623"/>
        <n v="-0.22459092390373459"/>
        <n v="-0.2297907891315985"/>
        <n v="-0.23495435188613453"/>
        <n v="-0.23603414571813994"/>
        <n v="-0.24577030504598393"/>
        <n v="-0.25930197566657953"/>
        <n v="-0.27691610066092187"/>
        <n v="-0.288206457508132"/>
        <n v="-0.2886690769291148"/>
        <n v="-0.31139048305200545"/>
        <n v="-0.31552243311225514"/>
        <n v="-0.3377722290555794"/>
        <n v="-0.34367213706936806"/>
        <n v="-0.35670181328161393"/>
        <n v="-0.3628911903709171"/>
        <n v="-0.3692062192209491"/>
        <n v="-0.3851488399606247"/>
        <n v="-0.3978619048104459"/>
        <n v="-0.4002274331387406"/>
        <n v="-0.40711405881366375"/>
        <n v="-0.40914536269231655"/>
        <n v="-0.43293486060356734"/>
        <n v="-0.445357524604396"/>
        <n v="-0.47375661160992083"/>
        <n v="-0.47538088022412367"/>
        <n v="-0.49086194429683666"/>
        <n v="-0.523360295293919"/>
        <n v="-0.5383849528839915"/>
        <n v="-0.5401571893221263"/>
        <n v="-0.5551587036405214"/>
        <n v="-0.5588350894841556"/>
        <n v="-0.5659767904564249"/>
        <n v="-0.6010925344494068"/>
        <n v="-0.6058716812872557"/>
        <n v="-0.6401571943919917"/>
        <n v="-0.6529063479908365"/>
        <n v="-0.6640878261493031"/>
        <n v="-0.6725430841964672"/>
        <n v="-0.6745449429817609"/>
        <n v="-0.6782344266046941"/>
        <n v="-0.6850878516888242"/>
        <n v="-0.6898014597907997"/>
        <n v="-0.6935501384332479"/>
        <n v="-0.6967861860780935"/>
        <n v="-0.7067459815758649"/>
        <n v="-0.7131925823729153"/>
        <n v="-0.7143083421895582"/>
        <n v="-0.7170563947850701"/>
        <n v="-0.720514436019333"/>
        <n v="-0.7570246781040681"/>
        <n v="-0.7641087633939977"/>
        <n v="-0.7649568630237015"/>
        <n v="-0.7785739379255785"/>
        <n v="-0.798291163247219"/>
        <n v="-0.8842705365168277"/>
        <n v="-0.938094569307728"/>
        <n v="-0.9490009095430906"/>
        <n v="-0.9521990616176164"/>
        <n v="-0.9581324105532588"/>
        <n v="-1.0144512686815237"/>
        <n v="-1.1333605243689224"/>
        <n v="-1.1887328797062917"/>
        <n v="-1.2518256781399493"/>
        <n v="-1.2543576134004466"/>
        <n v="-1.2713151342584952"/>
        <n v="-1.2725177119246838"/>
        <n v="-1.2743237609520062"/>
        <n v="-1.2752451573060288"/>
        <n v="-1.3124757909554936"/>
        <n v="-1.3563706233672055"/>
        <n v="-1.3828780509765144"/>
        <n v="-1.3889972503944525"/>
        <n v="-1.4024673969694263"/>
        <n v="-1.4101551460857085"/>
        <n v="-1.4210161186199513"/>
        <n v="-1.5624643310769164"/>
        <n v="-1.5843531824813926"/>
        <n v="-1.5894342330594249"/>
        <n v="-1.6075113099402254"/>
        <n v="-1.6546806169730686"/>
        <n v="-1.7332439347206101"/>
        <n v="-1.7405237160257656"/>
        <n v="-1.7772806885608092"/>
        <n v="-1.8513512063974138"/>
        <n v="-1.8617946574548545"/>
        <n v="-1.8772757567400429"/>
        <n v="-1.8839541966863889"/>
        <n v="-1.8875373684262413"/>
        <n v="-1.9676266394260247"/>
        <n v="-2.027135895975566"/>
        <n v="-2.0888780399163447"/>
        <n v="-2.0914052392305025"/>
        <n v="-2.174727852767665"/>
        <n v="-2.2483371066683002"/>
        <n v="-2.464389273349947"/>
        <n v="-2.4966183663911172"/>
        <n v="-2.657008496705266"/>
        <n v="-2.7084025709723103"/>
        <n v="-3.0269891068062886"/>
        <n v="-3.269526637206279"/>
        <n v="-3.430089250312701"/>
        <n v="-3.675668864476938"/>
        <n v="-3.688102299221321"/>
        <n v="-3.7801610207682605"/>
        <n v="-4.105081188420644"/>
        <n v="-4.116633315686456"/>
        <n v="-4.187203473681488"/>
        <n v="-4.189134675431329"/>
        <n v="-4.470923297651028"/>
        <n v="-4.519032156866389"/>
        <n v="-4.593294800084594"/>
        <n v="-4.632146362034226"/>
        <n v="-4.684242216879426"/>
        <n v="-4.766270889608589"/>
        <n v="-4.82907594030911"/>
        <n v="-4.959670617307188"/>
        <n v="-5.42570886779835"/>
        <n v="-5.428313506388029"/>
        <n v="-5.4522154880637315"/>
        <n v="-5.6772805430414355"/>
        <n v="-6.3822765310739635"/>
        <n v="-6.383908911254264"/>
        <n v="-6.484570762666216"/>
        <n v="-6.736069074483995"/>
        <n v="-6.9179322570389115"/>
        <n v="-6.986596386571776"/>
        <n v="-7.020666432121358"/>
        <n v="-7.782855312871201"/>
        <n v="-8.36814101264619"/>
        <n v="-9.216909023174857"/>
        <n v="-9.313531446035972"/>
        <n v="-9.952066927861182"/>
        <n v="-10.882905421902597"/>
        <n v="-11.318642694381566"/>
        <n v="-11.588636252910256"/>
        <n v="-14.906411908543879"/>
        <n v="-20.860760699650793"/>
        <n v="-21.3467098133195"/>
        <n v="-38.924641478470555"/>
        <n v="-43.19854038859806"/>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Analysis" cacheId="0" dataCaption="" compact="0" compactData="0">
  <location ref="A2:K10" firstHeaderRow="0" firstDataRow="2" firstDataCol="1"/>
  <pivotFields>
    <pivotField name="Column 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t="default"/>
      </items>
    </pivotField>
    <pivotField name="Sale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t="default"/>
      </items>
    </pivotField>
    <pivotField name="Category" axis="axisRow" compact="0" outline="0" multipleItemSelectionAllowed="1" showAll="0" sortType="ascending">
      <items>
        <item x="3"/>
        <item x="1"/>
        <item x="4"/>
        <item x="0"/>
        <item x="2"/>
        <item t="default"/>
      </items>
    </pivotField>
    <pivotField name="Region" axis="axisCol" compact="0" outline="0" multipleItemSelectionAllowed="1" showAll="0" sortType="ascending">
      <items>
        <item x="3"/>
        <item x="2"/>
        <item x="1"/>
        <item x="0"/>
        <item t="default"/>
      </items>
    </pivotField>
    <pivotField name="Quant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Unit_Cost"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t="default"/>
      </items>
    </pivotField>
    <pivotField name="Selling_Pric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t="default"/>
      </items>
    </pivotField>
    <pivotField name="Discou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t="default"/>
      </items>
    </pivotField>
    <pivotField name="Revenue"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ame="Cost"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ame="Profit"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ame="Profit Margin(%)"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s>
  <rowFields>
    <field x="2"/>
  </rowFields>
  <colFields>
    <field x="3"/>
    <field x="-2"/>
  </colFields>
  <dataFields>
    <dataField name="SUM of Revenue" fld="8" baseField="0"/>
    <dataField name="SUM of Profit" fld="10" baseField="0"/>
  </dataFields>
</pivotTableDefinition>
</file>

<file path=xl/pivotTables/pivotTable2.xml><?xml version="1.0" encoding="utf-8"?>
<pivotTableDefinition xmlns="http://schemas.openxmlformats.org/spreadsheetml/2006/main" name="Pivot Table Analysis 2" cacheId="0" dataCaption="" compact="0" compactData="0">
  <location ref="A13:C19" firstHeaderRow="0" firstDataRow="2" firstDataCol="0"/>
  <pivotFields>
    <pivotField name="Column 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t="default"/>
      </items>
    </pivotField>
    <pivotField name="Sale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t="default"/>
      </items>
    </pivotField>
    <pivotField name="Category" axis="axisRow" compact="0" outline="0" multipleItemSelectionAllowed="1" showAll="0" sortType="descending">
      <items>
        <item x="2"/>
        <item x="0"/>
        <item x="4"/>
        <item x="1"/>
        <item x="3"/>
        <item t="default"/>
      </items>
    </pivotField>
    <pivotField name="Region" compact="0" outline="0" multipleItemSelectionAllowed="1" showAll="0">
      <items>
        <item x="0"/>
        <item x="1"/>
        <item x="2"/>
        <item x="3"/>
        <item t="default"/>
      </items>
    </pivotField>
    <pivotField name="Quantity"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Unit_Cost"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t="default"/>
      </items>
    </pivotField>
    <pivotField name="Selling_Pric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t="default"/>
      </items>
    </pivotField>
    <pivotField name="Discount"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t="default"/>
      </items>
    </pivotField>
    <pivotField name="Revenu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ame="Cost"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ame="Profit"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ame="Profit Margin(%)"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s>
  <rowFields>
    <field x="2"/>
  </rowFields>
  <colFields>
    <field x="-2"/>
  </colFields>
  <dataFields>
    <dataField name="AVERAGE of Discount" fld="7" subtotal="average" baseField="0"/>
    <dataField name="COUNT of Quantity" fld="4" subtotal="countNums" baseField="0"/>
  </dataFields>
</pivotTableDefinition>
</file>

<file path=xl/pivotTables/pivotTable3.xml><?xml version="1.0" encoding="utf-8"?>
<pivotTableDefinition xmlns="http://schemas.openxmlformats.org/spreadsheetml/2006/main" name="Pivot Table Analysis 3" cacheId="0" dataCaption="" compact="0" compactData="0">
  <location ref="A22:B413" firstHeaderRow="0" firstDataRow="1" firstDataCol="0" rowPageCount="1" colPageCount="1"/>
  <pivotFields>
    <pivotField name="Column 1" axis="axisRow" compact="0" outline="0" multipleItemSelectionAllowed="1" showAll="0" sortType="de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t="default"/>
      </items>
      <autoSortScope>
        <pivotArea>
          <references>
            <reference field="4294967294">
              <x v="0"/>
            </reference>
          </references>
        </pivotArea>
      </autoSortScope>
    </pivotField>
    <pivotField name="Sale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t="default"/>
      </items>
    </pivotField>
    <pivotField name="Category" compact="0" outline="0" multipleItemSelectionAllowed="1" showAll="0">
      <items>
        <item x="0"/>
        <item x="1"/>
        <item x="2"/>
        <item x="3"/>
        <item x="4"/>
        <item t="default"/>
      </items>
    </pivotField>
    <pivotField name="Region" compact="0" outline="0" multipleItemSelectionAllowed="1" showAll="0">
      <items>
        <item x="0"/>
        <item x="1"/>
        <item x="2"/>
        <item x="3"/>
        <item t="default"/>
      </items>
    </pivotField>
    <pivotField name="Quant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Unit_Cost"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t="default"/>
      </items>
    </pivotField>
    <pivotField name="Selling_Pric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t="default"/>
      </items>
    </pivotField>
    <pivotField name="Discou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t="default"/>
      </items>
    </pivotField>
    <pivotField name="Revenu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ame="Cost"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ame="Profit" axis="axisPage"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h="1"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h="1"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ame="Profit Margin(%)"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s>
  <rowFields>
    <field x="0"/>
  </rowFields>
  <pageFields>
    <pageField fld="10"/>
  </pageFields>
  <dataFields>
    <dataField name="SUM of Profit" fld="10"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3" sourceName="Category">
  <x14:extLst>
    <ext uri="{2F2917AC-EB37-4324-AD4E-5DD8C200BD13}">
      <x15:tableSlicerCache tableId="1" column="3"/>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4" sourceName="Region">
  <x14:extLst>
    <ext uri="{2F2917AC-EB37-4324-AD4E-5DD8C200BD13}">
      <x15:tableSlicerCache tableId="1" column="4"/>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Region_1" cache="SlicerCache_Table_1_Col_4" caption="Region" rowHeight="247650"/>
  <x14:slicer name="Category_2" cache="SlicerCache_Table_1_Col_3" caption="Category" rowHeight="247650"/>
</x14:slicers>
</file>

<file path=xl/tables/table1.xml><?xml version="1.0" encoding="utf-8"?>
<table xmlns="http://schemas.openxmlformats.org/spreadsheetml/2006/main" ref="A1:L501" displayName="Table1" name="Table1" id="1">
  <autoFilter ref="$A$1:$L$501"/>
  <tableColumns count="12">
    <tableColumn name="Column 1" id="1"/>
    <tableColumn name="Sale_Date" id="2"/>
    <tableColumn name="Category" id="3"/>
    <tableColumn name="Region" id="4"/>
    <tableColumn name="Quantity" id="5"/>
    <tableColumn name="Unit_Cost" id="6"/>
    <tableColumn name="Selling_Price" id="7"/>
    <tableColumn name="Discount" id="8"/>
    <tableColumn name="Revenue" id="9"/>
    <tableColumn name="Cost" id="10"/>
    <tableColumn name="Profit" id="11"/>
    <tableColumn name="Profit Margin(%)" id="12"/>
  </tableColumns>
  <tableStyleInfo name="Data-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drawing" Target="../drawings/drawing2.xml"/><Relationship Id="rId5"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38"/>
    <col customWidth="1" min="2" max="2" width="18.5"/>
    <col customWidth="1" min="3" max="3" width="14.13"/>
    <col customWidth="1" min="4" max="4" width="12.13"/>
    <col customWidth="1" min="5" max="5" width="14.0"/>
    <col customWidth="1" min="6" max="6" width="15.0"/>
    <col customWidth="1" min="7" max="7" width="17.75"/>
    <col customWidth="1" min="8" max="8" width="14.0"/>
    <col customWidth="1" min="9" max="9" width="13.88"/>
    <col customWidth="1" min="10" max="10" width="10.0"/>
    <col customWidth="1" min="11" max="11" width="10.88"/>
    <col customWidth="1" min="12" max="12" width="24.75"/>
  </cols>
  <sheetData>
    <row r="1" ht="33.0" customHeight="1">
      <c r="A1" s="1" t="s">
        <v>0</v>
      </c>
      <c r="B1" s="1" t="s">
        <v>1</v>
      </c>
      <c r="C1" s="1" t="s">
        <v>2</v>
      </c>
      <c r="D1" s="1" t="s">
        <v>3</v>
      </c>
      <c r="E1" s="1" t="s">
        <v>4</v>
      </c>
      <c r="F1" s="1" t="s">
        <v>5</v>
      </c>
      <c r="G1" s="1" t="s">
        <v>6</v>
      </c>
      <c r="H1" s="1" t="s">
        <v>7</v>
      </c>
      <c r="I1" s="2" t="s">
        <v>8</v>
      </c>
      <c r="J1" s="2" t="s">
        <v>9</v>
      </c>
      <c r="K1" s="2" t="s">
        <v>10</v>
      </c>
      <c r="L1" s="2" t="s">
        <v>11</v>
      </c>
      <c r="M1" s="3"/>
      <c r="N1" s="3"/>
      <c r="O1" s="3"/>
      <c r="P1" s="3"/>
      <c r="Q1" s="3"/>
      <c r="R1" s="3"/>
      <c r="S1" s="3"/>
      <c r="T1" s="3"/>
      <c r="U1" s="3"/>
      <c r="V1" s="3"/>
      <c r="W1" s="3"/>
      <c r="X1" s="3"/>
    </row>
    <row r="2" ht="22.5" customHeight="1">
      <c r="A2" s="4" t="s">
        <v>12</v>
      </c>
      <c r="B2" s="5">
        <v>45166.0</v>
      </c>
      <c r="C2" s="4" t="s">
        <v>13</v>
      </c>
      <c r="D2" s="4" t="s">
        <v>14</v>
      </c>
      <c r="E2" s="6">
        <v>75.0</v>
      </c>
      <c r="F2" s="7">
        <v>12.32</v>
      </c>
      <c r="G2" s="7">
        <v>921.25</v>
      </c>
      <c r="H2" s="6">
        <v>8.0</v>
      </c>
      <c r="I2" s="8">
        <f t="shared" ref="I2:I501" si="1">E2*G2*(1-H2/100)</f>
        <v>63566.25</v>
      </c>
      <c r="J2" s="8">
        <f t="shared" ref="J2:J501" si="2">E2*F2</f>
        <v>924</v>
      </c>
      <c r="K2" s="8">
        <f t="shared" ref="K2:K501" si="3">I2-J2</f>
        <v>62642.25</v>
      </c>
      <c r="L2" s="9">
        <f t="shared" ref="L2:L501" si="4">(K2/I2)</f>
        <v>0.9854639844</v>
      </c>
    </row>
    <row r="3" ht="22.5" customHeight="1">
      <c r="A3" s="4" t="s">
        <v>15</v>
      </c>
      <c r="B3" s="5">
        <v>45248.0</v>
      </c>
      <c r="C3" s="4" t="s">
        <v>16</v>
      </c>
      <c r="D3" s="4" t="s">
        <v>17</v>
      </c>
      <c r="E3" s="6">
        <v>96.0</v>
      </c>
      <c r="F3" s="7">
        <v>10.12</v>
      </c>
      <c r="G3" s="7">
        <v>385.42</v>
      </c>
      <c r="H3" s="6">
        <v>8.79</v>
      </c>
      <c r="I3" s="8">
        <f t="shared" si="1"/>
        <v>33747.99187</v>
      </c>
      <c r="J3" s="8">
        <f t="shared" si="2"/>
        <v>971.52</v>
      </c>
      <c r="K3" s="8">
        <f t="shared" si="3"/>
        <v>32776.47187</v>
      </c>
      <c r="L3" s="9">
        <f t="shared" si="4"/>
        <v>0.9712125094</v>
      </c>
    </row>
    <row r="4" ht="22.5" customHeight="1">
      <c r="A4" s="4" t="s">
        <v>18</v>
      </c>
      <c r="B4" s="5">
        <v>45284.0</v>
      </c>
      <c r="C4" s="4" t="s">
        <v>16</v>
      </c>
      <c r="D4" s="4" t="s">
        <v>19</v>
      </c>
      <c r="E4" s="6">
        <v>24.0</v>
      </c>
      <c r="F4" s="7">
        <v>16.49</v>
      </c>
      <c r="G4" s="7">
        <v>590.01</v>
      </c>
      <c r="H4" s="6">
        <v>6.88</v>
      </c>
      <c r="I4" s="8">
        <f t="shared" si="1"/>
        <v>13186.01549</v>
      </c>
      <c r="J4" s="8">
        <f t="shared" si="2"/>
        <v>395.76</v>
      </c>
      <c r="K4" s="8">
        <f t="shared" si="3"/>
        <v>12790.25549</v>
      </c>
      <c r="L4" s="9">
        <f t="shared" si="4"/>
        <v>0.9699863844</v>
      </c>
    </row>
    <row r="5" ht="22.5" customHeight="1">
      <c r="A5" s="4" t="s">
        <v>20</v>
      </c>
      <c r="B5" s="5">
        <v>45087.0</v>
      </c>
      <c r="C5" s="4" t="s">
        <v>21</v>
      </c>
      <c r="D5" s="4" t="s">
        <v>22</v>
      </c>
      <c r="E5" s="6">
        <v>87.0</v>
      </c>
      <c r="F5" s="7">
        <v>26.99</v>
      </c>
      <c r="G5" s="7">
        <v>814.62</v>
      </c>
      <c r="H5" s="6">
        <v>7.95</v>
      </c>
      <c r="I5" s="8">
        <f t="shared" si="1"/>
        <v>65237.62077</v>
      </c>
      <c r="J5" s="8">
        <f t="shared" si="2"/>
        <v>2348.13</v>
      </c>
      <c r="K5" s="8">
        <f t="shared" si="3"/>
        <v>62889.49077</v>
      </c>
      <c r="L5" s="9">
        <f t="shared" si="4"/>
        <v>0.9640065046</v>
      </c>
    </row>
    <row r="6" ht="22.5" customHeight="1">
      <c r="A6" s="4" t="s">
        <v>23</v>
      </c>
      <c r="B6" s="5">
        <v>44952.0</v>
      </c>
      <c r="C6" s="4" t="s">
        <v>24</v>
      </c>
      <c r="D6" s="4" t="s">
        <v>19</v>
      </c>
      <c r="E6" s="6">
        <v>11.0</v>
      </c>
      <c r="F6" s="7">
        <v>27.25</v>
      </c>
      <c r="G6" s="7">
        <v>963.75</v>
      </c>
      <c r="H6" s="6">
        <v>24.27</v>
      </c>
      <c r="I6" s="8">
        <f t="shared" si="1"/>
        <v>8028.326625</v>
      </c>
      <c r="J6" s="8">
        <f t="shared" si="2"/>
        <v>299.75</v>
      </c>
      <c r="K6" s="8">
        <f t="shared" si="3"/>
        <v>7728.576625</v>
      </c>
      <c r="L6" s="9">
        <f t="shared" si="4"/>
        <v>0.9626634523</v>
      </c>
    </row>
    <row r="7" ht="22.5" customHeight="1">
      <c r="A7" s="4" t="s">
        <v>25</v>
      </c>
      <c r="B7" s="5">
        <v>45080.0</v>
      </c>
      <c r="C7" s="4" t="s">
        <v>16</v>
      </c>
      <c r="D7" s="4" t="s">
        <v>19</v>
      </c>
      <c r="E7" s="6">
        <v>78.0</v>
      </c>
      <c r="F7" s="7">
        <v>20.39</v>
      </c>
      <c r="G7" s="7">
        <v>862.62</v>
      </c>
      <c r="H7" s="6">
        <v>38.29</v>
      </c>
      <c r="I7" s="8">
        <f t="shared" si="1"/>
        <v>41521.17856</v>
      </c>
      <c r="J7" s="8">
        <f t="shared" si="2"/>
        <v>1590.42</v>
      </c>
      <c r="K7" s="8">
        <f t="shared" si="3"/>
        <v>39930.75856</v>
      </c>
      <c r="L7" s="9">
        <f t="shared" si="4"/>
        <v>0.961696174</v>
      </c>
    </row>
    <row r="8" ht="22.5" customHeight="1">
      <c r="A8" s="4" t="s">
        <v>26</v>
      </c>
      <c r="B8" s="5">
        <v>45289.0</v>
      </c>
      <c r="C8" s="4" t="s">
        <v>16</v>
      </c>
      <c r="D8" s="4" t="s">
        <v>19</v>
      </c>
      <c r="E8" s="6">
        <v>7.0</v>
      </c>
      <c r="F8" s="7">
        <v>22.86</v>
      </c>
      <c r="G8" s="7">
        <v>604.15</v>
      </c>
      <c r="H8" s="6">
        <v>6.49</v>
      </c>
      <c r="I8" s="8">
        <f t="shared" si="1"/>
        <v>3954.584655</v>
      </c>
      <c r="J8" s="8">
        <f t="shared" si="2"/>
        <v>160.02</v>
      </c>
      <c r="K8" s="8">
        <f t="shared" si="3"/>
        <v>3794.564655</v>
      </c>
      <c r="L8" s="9">
        <f t="shared" si="4"/>
        <v>0.9595355735</v>
      </c>
    </row>
    <row r="9" ht="22.5" customHeight="1">
      <c r="A9" s="4" t="s">
        <v>27</v>
      </c>
      <c r="B9" s="5">
        <v>44943.0</v>
      </c>
      <c r="C9" s="4" t="s">
        <v>16</v>
      </c>
      <c r="D9" s="4" t="s">
        <v>17</v>
      </c>
      <c r="E9" s="6">
        <v>61.0</v>
      </c>
      <c r="F9" s="7">
        <v>23.16</v>
      </c>
      <c r="G9" s="7">
        <v>491.05</v>
      </c>
      <c r="H9" s="6">
        <v>2.03</v>
      </c>
      <c r="I9" s="8">
        <f t="shared" si="1"/>
        <v>29345.98279</v>
      </c>
      <c r="J9" s="8">
        <f t="shared" si="2"/>
        <v>1412.76</v>
      </c>
      <c r="K9" s="8">
        <f t="shared" si="3"/>
        <v>27933.22279</v>
      </c>
      <c r="L9" s="9">
        <f t="shared" si="4"/>
        <v>0.9518584874</v>
      </c>
    </row>
    <row r="10" ht="22.5" customHeight="1">
      <c r="A10" s="4" t="s">
        <v>28</v>
      </c>
      <c r="B10" s="5">
        <v>44953.0</v>
      </c>
      <c r="C10" s="4" t="s">
        <v>29</v>
      </c>
      <c r="D10" s="4" t="s">
        <v>19</v>
      </c>
      <c r="E10" s="6">
        <v>71.0</v>
      </c>
      <c r="F10" s="7">
        <v>6.74</v>
      </c>
      <c r="G10" s="7">
        <v>217.23</v>
      </c>
      <c r="H10" s="6">
        <v>36.91</v>
      </c>
      <c r="I10" s="8">
        <f t="shared" si="1"/>
        <v>9730.578897</v>
      </c>
      <c r="J10" s="8">
        <f t="shared" si="2"/>
        <v>478.54</v>
      </c>
      <c r="K10" s="8">
        <f t="shared" si="3"/>
        <v>9252.038897</v>
      </c>
      <c r="L10" s="9">
        <f t="shared" si="4"/>
        <v>0.9508210143</v>
      </c>
    </row>
    <row r="11" ht="22.5" customHeight="1">
      <c r="A11" s="4" t="s">
        <v>30</v>
      </c>
      <c r="B11" s="5">
        <v>45204.0</v>
      </c>
      <c r="C11" s="4" t="s">
        <v>13</v>
      </c>
      <c r="D11" s="4" t="s">
        <v>14</v>
      </c>
      <c r="E11" s="6">
        <v>33.0</v>
      </c>
      <c r="F11" s="7">
        <v>16.46</v>
      </c>
      <c r="G11" s="7">
        <v>388.8</v>
      </c>
      <c r="H11" s="6">
        <v>19.02</v>
      </c>
      <c r="I11" s="8">
        <f t="shared" si="1"/>
        <v>10390.05792</v>
      </c>
      <c r="J11" s="8">
        <f t="shared" si="2"/>
        <v>543.18</v>
      </c>
      <c r="K11" s="8">
        <f t="shared" si="3"/>
        <v>9846.87792</v>
      </c>
      <c r="L11" s="9">
        <f t="shared" si="4"/>
        <v>0.9477211769</v>
      </c>
    </row>
    <row r="12" ht="22.5" customHeight="1">
      <c r="A12" s="4" t="s">
        <v>31</v>
      </c>
      <c r="B12" s="5">
        <v>45173.0</v>
      </c>
      <c r="C12" s="4" t="s">
        <v>16</v>
      </c>
      <c r="D12" s="4" t="s">
        <v>14</v>
      </c>
      <c r="E12" s="6">
        <v>51.0</v>
      </c>
      <c r="F12" s="7">
        <v>43.5</v>
      </c>
      <c r="G12" s="7">
        <v>923.06</v>
      </c>
      <c r="H12" s="6">
        <v>14.02</v>
      </c>
      <c r="I12" s="8">
        <f t="shared" si="1"/>
        <v>40475.99639</v>
      </c>
      <c r="J12" s="8">
        <f t="shared" si="2"/>
        <v>2218.5</v>
      </c>
      <c r="K12" s="8">
        <f t="shared" si="3"/>
        <v>38257.49639</v>
      </c>
      <c r="L12" s="9">
        <f t="shared" si="4"/>
        <v>0.9451897372</v>
      </c>
    </row>
    <row r="13" ht="22.5" customHeight="1">
      <c r="A13" s="4" t="s">
        <v>32</v>
      </c>
      <c r="B13" s="5">
        <v>44981.0</v>
      </c>
      <c r="C13" s="4" t="s">
        <v>13</v>
      </c>
      <c r="D13" s="4" t="s">
        <v>17</v>
      </c>
      <c r="E13" s="6">
        <v>63.0</v>
      </c>
      <c r="F13" s="7">
        <v>20.44</v>
      </c>
      <c r="G13" s="7">
        <v>615.04</v>
      </c>
      <c r="H13" s="6">
        <v>39.81</v>
      </c>
      <c r="I13" s="8">
        <f t="shared" si="1"/>
        <v>23322.13229</v>
      </c>
      <c r="J13" s="8">
        <f t="shared" si="2"/>
        <v>1287.72</v>
      </c>
      <c r="K13" s="8">
        <f t="shared" si="3"/>
        <v>22034.41229</v>
      </c>
      <c r="L13" s="9">
        <f t="shared" si="4"/>
        <v>0.9447854946</v>
      </c>
    </row>
    <row r="14" ht="22.5" customHeight="1">
      <c r="A14" s="4" t="s">
        <v>33</v>
      </c>
      <c r="B14" s="5">
        <v>45167.0</v>
      </c>
      <c r="C14" s="4" t="s">
        <v>21</v>
      </c>
      <c r="D14" s="4" t="s">
        <v>14</v>
      </c>
      <c r="E14" s="6">
        <v>13.0</v>
      </c>
      <c r="F14" s="7">
        <v>12.46</v>
      </c>
      <c r="G14" s="7">
        <v>214.85</v>
      </c>
      <c r="H14" s="6">
        <v>13.74</v>
      </c>
      <c r="I14" s="8">
        <f t="shared" si="1"/>
        <v>2409.28493</v>
      </c>
      <c r="J14" s="8">
        <f t="shared" si="2"/>
        <v>161.98</v>
      </c>
      <c r="K14" s="8">
        <f t="shared" si="3"/>
        <v>2247.30493</v>
      </c>
      <c r="L14" s="9">
        <f t="shared" si="4"/>
        <v>0.9327684335</v>
      </c>
    </row>
    <row r="15" ht="22.5" customHeight="1">
      <c r="A15" s="4" t="s">
        <v>34</v>
      </c>
      <c r="B15" s="5">
        <v>45048.0</v>
      </c>
      <c r="C15" s="4" t="s">
        <v>24</v>
      </c>
      <c r="D15" s="4" t="s">
        <v>22</v>
      </c>
      <c r="E15" s="6">
        <v>29.0</v>
      </c>
      <c r="F15" s="7">
        <v>10.61</v>
      </c>
      <c r="G15" s="7">
        <v>249.43</v>
      </c>
      <c r="H15" s="6">
        <v>38.95</v>
      </c>
      <c r="I15" s="8">
        <f t="shared" si="1"/>
        <v>4416.033435</v>
      </c>
      <c r="J15" s="8">
        <f t="shared" si="2"/>
        <v>307.69</v>
      </c>
      <c r="K15" s="8">
        <f t="shared" si="3"/>
        <v>4108.343435</v>
      </c>
      <c r="L15" s="9">
        <f t="shared" si="4"/>
        <v>0.93032435</v>
      </c>
    </row>
    <row r="16" ht="22.5" customHeight="1">
      <c r="A16" s="4" t="s">
        <v>27</v>
      </c>
      <c r="B16" s="5">
        <v>45128.0</v>
      </c>
      <c r="C16" s="4" t="s">
        <v>16</v>
      </c>
      <c r="D16" s="4" t="s">
        <v>14</v>
      </c>
      <c r="E16" s="6">
        <v>7.0</v>
      </c>
      <c r="F16" s="7">
        <v>43.37</v>
      </c>
      <c r="G16" s="7">
        <v>648.67</v>
      </c>
      <c r="H16" s="6">
        <v>4.76</v>
      </c>
      <c r="I16" s="8">
        <f t="shared" si="1"/>
        <v>4324.553156</v>
      </c>
      <c r="J16" s="8">
        <f t="shared" si="2"/>
        <v>303.59</v>
      </c>
      <c r="K16" s="8">
        <f t="shared" si="3"/>
        <v>4020.963156</v>
      </c>
      <c r="L16" s="9">
        <f t="shared" si="4"/>
        <v>0.9297985274</v>
      </c>
    </row>
    <row r="17" ht="22.5" customHeight="1">
      <c r="A17" s="4" t="s">
        <v>35</v>
      </c>
      <c r="B17" s="5">
        <v>44995.0</v>
      </c>
      <c r="C17" s="4" t="s">
        <v>24</v>
      </c>
      <c r="D17" s="4" t="s">
        <v>14</v>
      </c>
      <c r="E17" s="6">
        <v>96.0</v>
      </c>
      <c r="F17" s="7">
        <v>38.34</v>
      </c>
      <c r="G17" s="7">
        <v>840.45</v>
      </c>
      <c r="H17" s="6">
        <v>35.51</v>
      </c>
      <c r="I17" s="8">
        <f t="shared" si="1"/>
        <v>52032.59568</v>
      </c>
      <c r="J17" s="8">
        <f t="shared" si="2"/>
        <v>3680.64</v>
      </c>
      <c r="K17" s="8">
        <f t="shared" si="3"/>
        <v>48351.95568</v>
      </c>
      <c r="L17" s="9">
        <f t="shared" si="4"/>
        <v>0.9292628024</v>
      </c>
    </row>
    <row r="18" ht="22.5" customHeight="1">
      <c r="A18" s="4" t="s">
        <v>36</v>
      </c>
      <c r="B18" s="5">
        <v>45084.0</v>
      </c>
      <c r="C18" s="4" t="s">
        <v>24</v>
      </c>
      <c r="D18" s="4" t="s">
        <v>14</v>
      </c>
      <c r="E18" s="6">
        <v>77.0</v>
      </c>
      <c r="F18" s="7">
        <v>29.19</v>
      </c>
      <c r="G18" s="7">
        <v>448.05</v>
      </c>
      <c r="H18" s="6">
        <v>8.39</v>
      </c>
      <c r="I18" s="8">
        <f t="shared" si="1"/>
        <v>31605.31259</v>
      </c>
      <c r="J18" s="8">
        <f t="shared" si="2"/>
        <v>2247.63</v>
      </c>
      <c r="K18" s="8">
        <f t="shared" si="3"/>
        <v>29357.68259</v>
      </c>
      <c r="L18" s="9">
        <f t="shared" si="4"/>
        <v>0.9288844243</v>
      </c>
    </row>
    <row r="19" ht="22.5" customHeight="1">
      <c r="A19" s="4" t="s">
        <v>37</v>
      </c>
      <c r="B19" s="5">
        <v>45204.0</v>
      </c>
      <c r="C19" s="4" t="s">
        <v>16</v>
      </c>
      <c r="D19" s="4" t="s">
        <v>22</v>
      </c>
      <c r="E19" s="6">
        <v>38.0</v>
      </c>
      <c r="F19" s="7">
        <v>43.39</v>
      </c>
      <c r="G19" s="7">
        <v>953.51</v>
      </c>
      <c r="H19" s="6">
        <v>36.88</v>
      </c>
      <c r="I19" s="8">
        <f t="shared" si="1"/>
        <v>22870.50946</v>
      </c>
      <c r="J19" s="8">
        <f t="shared" si="2"/>
        <v>1648.82</v>
      </c>
      <c r="K19" s="8">
        <f t="shared" si="3"/>
        <v>21221.68946</v>
      </c>
      <c r="L19" s="9">
        <f t="shared" si="4"/>
        <v>0.9279062846</v>
      </c>
    </row>
    <row r="20" ht="22.5" customHeight="1">
      <c r="A20" s="4" t="s">
        <v>38</v>
      </c>
      <c r="B20" s="5">
        <v>45182.0</v>
      </c>
      <c r="C20" s="4" t="s">
        <v>13</v>
      </c>
      <c r="D20" s="4" t="s">
        <v>22</v>
      </c>
      <c r="E20" s="6">
        <v>19.0</v>
      </c>
      <c r="F20" s="7">
        <v>32.98</v>
      </c>
      <c r="G20" s="7">
        <v>798.64</v>
      </c>
      <c r="H20" s="6">
        <v>44.03</v>
      </c>
      <c r="I20" s="8">
        <f t="shared" si="1"/>
        <v>8492.977352</v>
      </c>
      <c r="J20" s="8">
        <f t="shared" si="2"/>
        <v>626.62</v>
      </c>
      <c r="K20" s="8">
        <f t="shared" si="3"/>
        <v>7866.357352</v>
      </c>
      <c r="L20" s="9">
        <f t="shared" si="4"/>
        <v>0.9262190426</v>
      </c>
    </row>
    <row r="21" ht="22.5" customHeight="1">
      <c r="A21" s="4" t="s">
        <v>39</v>
      </c>
      <c r="B21" s="5">
        <v>45200.0</v>
      </c>
      <c r="C21" s="4" t="s">
        <v>29</v>
      </c>
      <c r="D21" s="4" t="s">
        <v>17</v>
      </c>
      <c r="E21" s="6">
        <v>59.0</v>
      </c>
      <c r="F21" s="7">
        <v>26.92</v>
      </c>
      <c r="G21" s="7">
        <v>598.15</v>
      </c>
      <c r="H21" s="6">
        <v>43.16</v>
      </c>
      <c r="I21" s="8">
        <f t="shared" si="1"/>
        <v>20059.31914</v>
      </c>
      <c r="J21" s="8">
        <f t="shared" si="2"/>
        <v>1588.28</v>
      </c>
      <c r="K21" s="8">
        <f t="shared" si="3"/>
        <v>18471.03914</v>
      </c>
      <c r="L21" s="9">
        <f t="shared" si="4"/>
        <v>0.920820842</v>
      </c>
    </row>
    <row r="22" ht="22.5" customHeight="1">
      <c r="A22" s="4" t="s">
        <v>40</v>
      </c>
      <c r="B22" s="5">
        <v>45221.0</v>
      </c>
      <c r="C22" s="4" t="s">
        <v>24</v>
      </c>
      <c r="D22" s="4" t="s">
        <v>22</v>
      </c>
      <c r="E22" s="6">
        <v>16.0</v>
      </c>
      <c r="F22" s="7">
        <v>17.13</v>
      </c>
      <c r="G22" s="7">
        <v>354.65</v>
      </c>
      <c r="H22" s="6">
        <v>40.9</v>
      </c>
      <c r="I22" s="8">
        <f t="shared" si="1"/>
        <v>3353.5704</v>
      </c>
      <c r="J22" s="8">
        <f t="shared" si="2"/>
        <v>274.08</v>
      </c>
      <c r="K22" s="8">
        <f t="shared" si="3"/>
        <v>3079.4904</v>
      </c>
      <c r="L22" s="9">
        <f t="shared" si="4"/>
        <v>0.9182721794</v>
      </c>
    </row>
    <row r="23" ht="22.5" customHeight="1">
      <c r="A23" s="4" t="s">
        <v>41</v>
      </c>
      <c r="B23" s="5">
        <v>44932.0</v>
      </c>
      <c r="C23" s="4" t="s">
        <v>16</v>
      </c>
      <c r="D23" s="4" t="s">
        <v>17</v>
      </c>
      <c r="E23" s="6">
        <v>42.0</v>
      </c>
      <c r="F23" s="7">
        <v>51.41</v>
      </c>
      <c r="G23" s="7">
        <v>626.56</v>
      </c>
      <c r="H23" s="6">
        <v>0.0</v>
      </c>
      <c r="I23" s="8">
        <f t="shared" si="1"/>
        <v>26315.52</v>
      </c>
      <c r="J23" s="8">
        <f t="shared" si="2"/>
        <v>2159.22</v>
      </c>
      <c r="K23" s="8">
        <f t="shared" si="3"/>
        <v>24156.3</v>
      </c>
      <c r="L23" s="9">
        <f t="shared" si="4"/>
        <v>0.9179487998</v>
      </c>
    </row>
    <row r="24" ht="22.5" customHeight="1">
      <c r="A24" s="4" t="s">
        <v>42</v>
      </c>
      <c r="B24" s="5">
        <v>45202.0</v>
      </c>
      <c r="C24" s="4" t="s">
        <v>29</v>
      </c>
      <c r="D24" s="4" t="s">
        <v>17</v>
      </c>
      <c r="E24" s="6">
        <v>2.0</v>
      </c>
      <c r="F24" s="7">
        <v>36.41</v>
      </c>
      <c r="G24" s="7">
        <v>531.21</v>
      </c>
      <c r="H24" s="6">
        <v>20.7</v>
      </c>
      <c r="I24" s="8">
        <f t="shared" si="1"/>
        <v>842.49906</v>
      </c>
      <c r="J24" s="8">
        <f t="shared" si="2"/>
        <v>72.82</v>
      </c>
      <c r="K24" s="8">
        <f t="shared" si="3"/>
        <v>769.67906</v>
      </c>
      <c r="L24" s="9">
        <f t="shared" si="4"/>
        <v>0.9135666691</v>
      </c>
    </row>
    <row r="25" ht="22.5" customHeight="1">
      <c r="A25" s="4" t="s">
        <v>43</v>
      </c>
      <c r="B25" s="5">
        <v>45038.0</v>
      </c>
      <c r="C25" s="4" t="s">
        <v>24</v>
      </c>
      <c r="D25" s="4" t="s">
        <v>22</v>
      </c>
      <c r="E25" s="6">
        <v>60.0</v>
      </c>
      <c r="F25" s="7">
        <v>55.36</v>
      </c>
      <c r="G25" s="7">
        <v>604.78</v>
      </c>
      <c r="H25" s="6">
        <v>1.33</v>
      </c>
      <c r="I25" s="8">
        <f t="shared" si="1"/>
        <v>35804.18556</v>
      </c>
      <c r="J25" s="8">
        <f t="shared" si="2"/>
        <v>3321.6</v>
      </c>
      <c r="K25" s="8">
        <f t="shared" si="3"/>
        <v>32482.58556</v>
      </c>
      <c r="L25" s="9">
        <f t="shared" si="4"/>
        <v>0.9072287235</v>
      </c>
    </row>
    <row r="26" ht="22.5" customHeight="1">
      <c r="A26" s="4" t="s">
        <v>44</v>
      </c>
      <c r="B26" s="5">
        <v>45104.0</v>
      </c>
      <c r="C26" s="4" t="s">
        <v>13</v>
      </c>
      <c r="D26" s="4" t="s">
        <v>22</v>
      </c>
      <c r="E26" s="6">
        <v>45.0</v>
      </c>
      <c r="F26" s="7">
        <v>41.44</v>
      </c>
      <c r="G26" s="7">
        <v>566.51</v>
      </c>
      <c r="H26" s="6">
        <v>22.13</v>
      </c>
      <c r="I26" s="8">
        <f t="shared" si="1"/>
        <v>19851.36017</v>
      </c>
      <c r="J26" s="8">
        <f t="shared" si="2"/>
        <v>1864.8</v>
      </c>
      <c r="K26" s="8">
        <f t="shared" si="3"/>
        <v>17986.56017</v>
      </c>
      <c r="L26" s="9">
        <f t="shared" si="4"/>
        <v>0.9060618525</v>
      </c>
    </row>
    <row r="27" ht="22.5" customHeight="1">
      <c r="A27" s="4" t="s">
        <v>45</v>
      </c>
      <c r="B27" s="5">
        <v>45287.0</v>
      </c>
      <c r="C27" s="4" t="s">
        <v>13</v>
      </c>
      <c r="D27" s="4" t="s">
        <v>17</v>
      </c>
      <c r="E27" s="6">
        <v>29.0</v>
      </c>
      <c r="F27" s="7">
        <v>43.42</v>
      </c>
      <c r="G27" s="7">
        <v>772.14</v>
      </c>
      <c r="H27" s="6">
        <v>40.24</v>
      </c>
      <c r="I27" s="8">
        <f t="shared" si="1"/>
        <v>13381.49506</v>
      </c>
      <c r="J27" s="8">
        <f t="shared" si="2"/>
        <v>1259.18</v>
      </c>
      <c r="K27" s="8">
        <f t="shared" si="3"/>
        <v>12122.31506</v>
      </c>
      <c r="L27" s="9">
        <f t="shared" si="4"/>
        <v>0.9059013963</v>
      </c>
    </row>
    <row r="28" ht="22.5" customHeight="1">
      <c r="A28" s="4" t="s">
        <v>46</v>
      </c>
      <c r="B28" s="5">
        <v>45208.0</v>
      </c>
      <c r="C28" s="4" t="s">
        <v>21</v>
      </c>
      <c r="D28" s="4" t="s">
        <v>22</v>
      </c>
      <c r="E28" s="6">
        <v>21.0</v>
      </c>
      <c r="F28" s="7">
        <v>25.22</v>
      </c>
      <c r="G28" s="7">
        <v>306.13</v>
      </c>
      <c r="H28" s="6">
        <v>12.87</v>
      </c>
      <c r="I28" s="8">
        <f t="shared" si="1"/>
        <v>5601.352449</v>
      </c>
      <c r="J28" s="8">
        <f t="shared" si="2"/>
        <v>529.62</v>
      </c>
      <c r="K28" s="8">
        <f t="shared" si="3"/>
        <v>5071.732449</v>
      </c>
      <c r="L28" s="9">
        <f t="shared" si="4"/>
        <v>0.9054478352</v>
      </c>
    </row>
    <row r="29" ht="22.5" customHeight="1">
      <c r="A29" s="4" t="s">
        <v>47</v>
      </c>
      <c r="B29" s="5">
        <v>45193.0</v>
      </c>
      <c r="C29" s="4" t="s">
        <v>24</v>
      </c>
      <c r="D29" s="4" t="s">
        <v>22</v>
      </c>
      <c r="E29" s="6">
        <v>52.0</v>
      </c>
      <c r="F29" s="7">
        <v>78.43</v>
      </c>
      <c r="G29" s="7">
        <v>934.83</v>
      </c>
      <c r="H29" s="6">
        <v>14.18</v>
      </c>
      <c r="I29" s="8">
        <f t="shared" si="1"/>
        <v>41718.09751</v>
      </c>
      <c r="J29" s="8">
        <f t="shared" si="2"/>
        <v>4078.36</v>
      </c>
      <c r="K29" s="8">
        <f t="shared" si="3"/>
        <v>37639.73751</v>
      </c>
      <c r="L29" s="9">
        <f t="shared" si="4"/>
        <v>0.9022400291</v>
      </c>
    </row>
    <row r="30" ht="22.5" customHeight="1">
      <c r="A30" s="4" t="s">
        <v>48</v>
      </c>
      <c r="B30" s="5">
        <v>44959.0</v>
      </c>
      <c r="C30" s="4" t="s">
        <v>29</v>
      </c>
      <c r="D30" s="4" t="s">
        <v>22</v>
      </c>
      <c r="E30" s="6">
        <v>41.0</v>
      </c>
      <c r="F30" s="7">
        <v>51.29</v>
      </c>
      <c r="G30" s="7">
        <v>999.5</v>
      </c>
      <c r="H30" s="6">
        <v>47.58</v>
      </c>
      <c r="I30" s="8">
        <f t="shared" si="1"/>
        <v>21481.4539</v>
      </c>
      <c r="J30" s="8">
        <f t="shared" si="2"/>
        <v>2102.89</v>
      </c>
      <c r="K30" s="8">
        <f t="shared" si="3"/>
        <v>19378.5639</v>
      </c>
      <c r="L30" s="9">
        <f t="shared" si="4"/>
        <v>0.9021067191</v>
      </c>
    </row>
    <row r="31" ht="22.5" customHeight="1">
      <c r="A31" s="4" t="s">
        <v>49</v>
      </c>
      <c r="B31" s="5">
        <v>45258.0</v>
      </c>
      <c r="C31" s="4" t="s">
        <v>29</v>
      </c>
      <c r="D31" s="4" t="s">
        <v>19</v>
      </c>
      <c r="E31" s="6">
        <v>84.0</v>
      </c>
      <c r="F31" s="7">
        <v>78.54</v>
      </c>
      <c r="G31" s="7">
        <v>961.16</v>
      </c>
      <c r="H31" s="6">
        <v>16.71</v>
      </c>
      <c r="I31" s="8">
        <f t="shared" si="1"/>
        <v>67246.21378</v>
      </c>
      <c r="J31" s="8">
        <f t="shared" si="2"/>
        <v>6597.36</v>
      </c>
      <c r="K31" s="8">
        <f t="shared" si="3"/>
        <v>60648.85378</v>
      </c>
      <c r="L31" s="9">
        <f t="shared" si="4"/>
        <v>0.901892469</v>
      </c>
    </row>
    <row r="32" ht="22.5" customHeight="1">
      <c r="A32" s="4" t="s">
        <v>50</v>
      </c>
      <c r="B32" s="5">
        <v>44995.0</v>
      </c>
      <c r="C32" s="4" t="s">
        <v>13</v>
      </c>
      <c r="D32" s="4" t="s">
        <v>19</v>
      </c>
      <c r="E32" s="6">
        <v>81.0</v>
      </c>
      <c r="F32" s="7">
        <v>51.31</v>
      </c>
      <c r="G32" s="7">
        <v>587.19</v>
      </c>
      <c r="H32" s="6">
        <v>11.09</v>
      </c>
      <c r="I32" s="8">
        <f t="shared" si="1"/>
        <v>42287.72095</v>
      </c>
      <c r="J32" s="8">
        <f t="shared" si="2"/>
        <v>4156.11</v>
      </c>
      <c r="K32" s="8">
        <f t="shared" si="3"/>
        <v>38131.61095</v>
      </c>
      <c r="L32" s="9">
        <f t="shared" si="4"/>
        <v>0.9017182788</v>
      </c>
    </row>
    <row r="33" ht="22.5" customHeight="1">
      <c r="A33" s="4" t="s">
        <v>51</v>
      </c>
      <c r="B33" s="5">
        <v>45183.0</v>
      </c>
      <c r="C33" s="4" t="s">
        <v>16</v>
      </c>
      <c r="D33" s="4" t="s">
        <v>17</v>
      </c>
      <c r="E33" s="6">
        <v>66.0</v>
      </c>
      <c r="F33" s="7">
        <v>9.63</v>
      </c>
      <c r="G33" s="7">
        <v>108.64</v>
      </c>
      <c r="H33" s="6">
        <v>11.5</v>
      </c>
      <c r="I33" s="8">
        <f t="shared" si="1"/>
        <v>6345.6624</v>
      </c>
      <c r="J33" s="8">
        <f t="shared" si="2"/>
        <v>635.58</v>
      </c>
      <c r="K33" s="8">
        <f t="shared" si="3"/>
        <v>5710.0824</v>
      </c>
      <c r="L33" s="9">
        <f t="shared" si="4"/>
        <v>0.8998402436</v>
      </c>
    </row>
    <row r="34" ht="22.5" customHeight="1">
      <c r="A34" s="4" t="s">
        <v>52</v>
      </c>
      <c r="B34" s="5">
        <v>45075.0</v>
      </c>
      <c r="C34" s="4" t="s">
        <v>13</v>
      </c>
      <c r="D34" s="4" t="s">
        <v>19</v>
      </c>
      <c r="E34" s="6">
        <v>62.0</v>
      </c>
      <c r="F34" s="7">
        <v>47.65</v>
      </c>
      <c r="G34" s="7">
        <v>664.07</v>
      </c>
      <c r="H34" s="6">
        <v>28.97</v>
      </c>
      <c r="I34" s="8">
        <f t="shared" si="1"/>
        <v>29244.7131</v>
      </c>
      <c r="J34" s="8">
        <f t="shared" si="2"/>
        <v>2954.3</v>
      </c>
      <c r="K34" s="8">
        <f t="shared" si="3"/>
        <v>26290.4131</v>
      </c>
      <c r="L34" s="9">
        <f t="shared" si="4"/>
        <v>0.8989800314</v>
      </c>
    </row>
    <row r="35" ht="22.5" customHeight="1">
      <c r="A35" s="4" t="s">
        <v>53</v>
      </c>
      <c r="B35" s="5">
        <v>44983.0</v>
      </c>
      <c r="C35" s="4" t="s">
        <v>24</v>
      </c>
      <c r="D35" s="4" t="s">
        <v>14</v>
      </c>
      <c r="E35" s="6">
        <v>99.0</v>
      </c>
      <c r="F35" s="7">
        <v>44.96</v>
      </c>
      <c r="G35" s="7">
        <v>509.37</v>
      </c>
      <c r="H35" s="6">
        <v>13.27</v>
      </c>
      <c r="I35" s="8">
        <f t="shared" si="1"/>
        <v>43735.8835</v>
      </c>
      <c r="J35" s="8">
        <f t="shared" si="2"/>
        <v>4451.04</v>
      </c>
      <c r="K35" s="8">
        <f t="shared" si="3"/>
        <v>39284.8435</v>
      </c>
      <c r="L35" s="9">
        <f t="shared" si="4"/>
        <v>0.8982291052</v>
      </c>
    </row>
    <row r="36" ht="22.5" customHeight="1">
      <c r="A36" s="4" t="s">
        <v>54</v>
      </c>
      <c r="B36" s="5">
        <v>44965.0</v>
      </c>
      <c r="C36" s="4" t="s">
        <v>29</v>
      </c>
      <c r="D36" s="4" t="s">
        <v>17</v>
      </c>
      <c r="E36" s="6">
        <v>47.0</v>
      </c>
      <c r="F36" s="7">
        <v>36.83</v>
      </c>
      <c r="G36" s="7">
        <v>587.25</v>
      </c>
      <c r="H36" s="6">
        <v>40.37</v>
      </c>
      <c r="I36" s="8">
        <f t="shared" si="1"/>
        <v>16458.32723</v>
      </c>
      <c r="J36" s="8">
        <f t="shared" si="2"/>
        <v>1731.01</v>
      </c>
      <c r="K36" s="8">
        <f t="shared" si="3"/>
        <v>14727.31723</v>
      </c>
      <c r="L36" s="9">
        <f t="shared" si="4"/>
        <v>0.8948246698</v>
      </c>
    </row>
    <row r="37" ht="22.5" customHeight="1">
      <c r="A37" s="4" t="s">
        <v>55</v>
      </c>
      <c r="B37" s="5">
        <v>45177.0</v>
      </c>
      <c r="C37" s="4" t="s">
        <v>16</v>
      </c>
      <c r="D37" s="4" t="s">
        <v>17</v>
      </c>
      <c r="E37" s="6">
        <v>10.0</v>
      </c>
      <c r="F37" s="7">
        <v>63.17</v>
      </c>
      <c r="G37" s="7">
        <v>668.97</v>
      </c>
      <c r="H37" s="6">
        <v>11.23</v>
      </c>
      <c r="I37" s="8">
        <f t="shared" si="1"/>
        <v>5938.44669</v>
      </c>
      <c r="J37" s="8">
        <f t="shared" si="2"/>
        <v>631.7</v>
      </c>
      <c r="K37" s="8">
        <f t="shared" si="3"/>
        <v>5306.74669</v>
      </c>
      <c r="L37" s="9">
        <f t="shared" si="4"/>
        <v>0.8936253817</v>
      </c>
    </row>
    <row r="38" ht="22.5" customHeight="1">
      <c r="A38" s="4" t="s">
        <v>56</v>
      </c>
      <c r="B38" s="5">
        <v>45264.0</v>
      </c>
      <c r="C38" s="4" t="s">
        <v>21</v>
      </c>
      <c r="D38" s="4" t="s">
        <v>22</v>
      </c>
      <c r="E38" s="6">
        <v>75.0</v>
      </c>
      <c r="F38" s="7">
        <v>42.55</v>
      </c>
      <c r="G38" s="7">
        <v>746.81</v>
      </c>
      <c r="H38" s="6">
        <v>46.46</v>
      </c>
      <c r="I38" s="8">
        <f t="shared" si="1"/>
        <v>29988.15555</v>
      </c>
      <c r="J38" s="8">
        <f t="shared" si="2"/>
        <v>3191.25</v>
      </c>
      <c r="K38" s="8">
        <f t="shared" si="3"/>
        <v>26796.90555</v>
      </c>
      <c r="L38" s="9">
        <f t="shared" si="4"/>
        <v>0.893582985</v>
      </c>
    </row>
    <row r="39" ht="22.5" customHeight="1">
      <c r="A39" s="4" t="s">
        <v>57</v>
      </c>
      <c r="B39" s="5">
        <v>45123.0</v>
      </c>
      <c r="C39" s="4" t="s">
        <v>16</v>
      </c>
      <c r="D39" s="4" t="s">
        <v>19</v>
      </c>
      <c r="E39" s="6">
        <v>48.0</v>
      </c>
      <c r="F39" s="7">
        <v>97.79</v>
      </c>
      <c r="G39" s="7">
        <v>907.66</v>
      </c>
      <c r="H39" s="6">
        <v>0.55</v>
      </c>
      <c r="I39" s="8">
        <f t="shared" si="1"/>
        <v>43328.05776</v>
      </c>
      <c r="J39" s="8">
        <f t="shared" si="2"/>
        <v>4693.92</v>
      </c>
      <c r="K39" s="8">
        <f t="shared" si="3"/>
        <v>38634.13776</v>
      </c>
      <c r="L39" s="9">
        <f t="shared" si="4"/>
        <v>0.8916655802</v>
      </c>
    </row>
    <row r="40" ht="22.5" customHeight="1">
      <c r="A40" s="4" t="s">
        <v>58</v>
      </c>
      <c r="B40" s="5">
        <v>45160.0</v>
      </c>
      <c r="C40" s="4" t="s">
        <v>24</v>
      </c>
      <c r="D40" s="4" t="s">
        <v>14</v>
      </c>
      <c r="E40" s="6">
        <v>76.0</v>
      </c>
      <c r="F40" s="7">
        <v>75.17</v>
      </c>
      <c r="G40" s="7">
        <v>683.33</v>
      </c>
      <c r="H40" s="6">
        <v>3.38</v>
      </c>
      <c r="I40" s="8">
        <f t="shared" si="1"/>
        <v>50177.7419</v>
      </c>
      <c r="J40" s="8">
        <f t="shared" si="2"/>
        <v>5712.92</v>
      </c>
      <c r="K40" s="8">
        <f t="shared" si="3"/>
        <v>44464.8219</v>
      </c>
      <c r="L40" s="9">
        <f t="shared" si="4"/>
        <v>0.8861463313</v>
      </c>
    </row>
    <row r="41" ht="22.5" customHeight="1">
      <c r="A41" s="4" t="s">
        <v>59</v>
      </c>
      <c r="B41" s="5">
        <v>44996.0</v>
      </c>
      <c r="C41" s="4" t="s">
        <v>16</v>
      </c>
      <c r="D41" s="4" t="s">
        <v>14</v>
      </c>
      <c r="E41" s="6">
        <v>91.0</v>
      </c>
      <c r="F41" s="7">
        <v>63.56</v>
      </c>
      <c r="G41" s="7">
        <v>575.34</v>
      </c>
      <c r="H41" s="6">
        <v>8.48</v>
      </c>
      <c r="I41" s="8">
        <f t="shared" si="1"/>
        <v>47916.15629</v>
      </c>
      <c r="J41" s="8">
        <f t="shared" si="2"/>
        <v>5783.96</v>
      </c>
      <c r="K41" s="8">
        <f t="shared" si="3"/>
        <v>42132.19629</v>
      </c>
      <c r="L41" s="9">
        <f t="shared" si="4"/>
        <v>0.8792899838</v>
      </c>
    </row>
    <row r="42" ht="22.5" customHeight="1">
      <c r="A42" s="4" t="s">
        <v>60</v>
      </c>
      <c r="B42" s="5">
        <v>45156.0</v>
      </c>
      <c r="C42" s="4" t="s">
        <v>13</v>
      </c>
      <c r="D42" s="4" t="s">
        <v>14</v>
      </c>
      <c r="E42" s="6">
        <v>36.0</v>
      </c>
      <c r="F42" s="7">
        <v>16.42</v>
      </c>
      <c r="G42" s="7">
        <v>250.11</v>
      </c>
      <c r="H42" s="6">
        <v>46.64</v>
      </c>
      <c r="I42" s="8">
        <f t="shared" si="1"/>
        <v>4804.513056</v>
      </c>
      <c r="J42" s="8">
        <f t="shared" si="2"/>
        <v>591.12</v>
      </c>
      <c r="K42" s="8">
        <f t="shared" si="3"/>
        <v>4213.393056</v>
      </c>
      <c r="L42" s="9">
        <f t="shared" si="4"/>
        <v>0.8769656793</v>
      </c>
    </row>
    <row r="43" ht="22.5" customHeight="1">
      <c r="A43" s="4" t="s">
        <v>61</v>
      </c>
      <c r="B43" s="5">
        <v>45136.0</v>
      </c>
      <c r="C43" s="4" t="s">
        <v>21</v>
      </c>
      <c r="D43" s="4" t="s">
        <v>14</v>
      </c>
      <c r="E43" s="6">
        <v>75.0</v>
      </c>
      <c r="F43" s="7">
        <v>60.08</v>
      </c>
      <c r="G43" s="7">
        <v>667.71</v>
      </c>
      <c r="H43" s="6">
        <v>32.43</v>
      </c>
      <c r="I43" s="8">
        <f t="shared" si="1"/>
        <v>33837.87353</v>
      </c>
      <c r="J43" s="8">
        <f t="shared" si="2"/>
        <v>4506</v>
      </c>
      <c r="K43" s="8">
        <f t="shared" si="3"/>
        <v>29331.87353</v>
      </c>
      <c r="L43" s="9">
        <f t="shared" si="4"/>
        <v>0.8668356037</v>
      </c>
    </row>
    <row r="44" ht="22.5" customHeight="1">
      <c r="A44" s="4" t="s">
        <v>62</v>
      </c>
      <c r="B44" s="5">
        <v>44947.0</v>
      </c>
      <c r="C44" s="4" t="s">
        <v>16</v>
      </c>
      <c r="D44" s="4" t="s">
        <v>17</v>
      </c>
      <c r="E44" s="6">
        <v>42.0</v>
      </c>
      <c r="F44" s="7">
        <v>40.79</v>
      </c>
      <c r="G44" s="7">
        <v>506.44</v>
      </c>
      <c r="H44" s="6">
        <v>41.73</v>
      </c>
      <c r="I44" s="8">
        <f t="shared" si="1"/>
        <v>12394.3087</v>
      </c>
      <c r="J44" s="8">
        <f t="shared" si="2"/>
        <v>1713.18</v>
      </c>
      <c r="K44" s="8">
        <f t="shared" si="3"/>
        <v>10681.1287</v>
      </c>
      <c r="L44" s="9">
        <f t="shared" si="4"/>
        <v>0.8617768815</v>
      </c>
    </row>
    <row r="45" ht="22.5" customHeight="1">
      <c r="A45" s="4" t="s">
        <v>63</v>
      </c>
      <c r="B45" s="5">
        <v>45175.0</v>
      </c>
      <c r="C45" s="4" t="s">
        <v>21</v>
      </c>
      <c r="D45" s="4" t="s">
        <v>14</v>
      </c>
      <c r="E45" s="6">
        <v>97.0</v>
      </c>
      <c r="F45" s="7">
        <v>50.5</v>
      </c>
      <c r="G45" s="7">
        <v>450.63</v>
      </c>
      <c r="H45" s="6">
        <v>20.13</v>
      </c>
      <c r="I45" s="8">
        <f t="shared" si="1"/>
        <v>34912.06356</v>
      </c>
      <c r="J45" s="8">
        <f t="shared" si="2"/>
        <v>4898.5</v>
      </c>
      <c r="K45" s="8">
        <f t="shared" si="3"/>
        <v>30013.56356</v>
      </c>
      <c r="L45" s="9">
        <f t="shared" si="4"/>
        <v>0.8596903333</v>
      </c>
    </row>
    <row r="46" ht="22.5" customHeight="1">
      <c r="A46" s="4" t="s">
        <v>64</v>
      </c>
      <c r="B46" s="5">
        <v>45053.0</v>
      </c>
      <c r="C46" s="4" t="s">
        <v>29</v>
      </c>
      <c r="D46" s="4" t="s">
        <v>22</v>
      </c>
      <c r="E46" s="6">
        <v>25.0</v>
      </c>
      <c r="F46" s="7">
        <v>100.21</v>
      </c>
      <c r="G46" s="7">
        <v>720.31</v>
      </c>
      <c r="H46" s="6">
        <v>0.88</v>
      </c>
      <c r="I46" s="8">
        <f t="shared" si="1"/>
        <v>17849.2818</v>
      </c>
      <c r="J46" s="8">
        <f t="shared" si="2"/>
        <v>2505.25</v>
      </c>
      <c r="K46" s="8">
        <f t="shared" si="3"/>
        <v>15344.0318</v>
      </c>
      <c r="L46" s="9">
        <f t="shared" si="4"/>
        <v>0.8596442127</v>
      </c>
    </row>
    <row r="47" ht="22.5" customHeight="1">
      <c r="A47" s="4" t="s">
        <v>65</v>
      </c>
      <c r="B47" s="5">
        <v>44968.0</v>
      </c>
      <c r="C47" s="4" t="s">
        <v>21</v>
      </c>
      <c r="D47" s="4" t="s">
        <v>19</v>
      </c>
      <c r="E47" s="6">
        <v>7.0</v>
      </c>
      <c r="F47" s="7">
        <v>54.04</v>
      </c>
      <c r="G47" s="7">
        <v>656.17</v>
      </c>
      <c r="H47" s="6">
        <v>41.47</v>
      </c>
      <c r="I47" s="8">
        <f t="shared" si="1"/>
        <v>2688.394107</v>
      </c>
      <c r="J47" s="8">
        <f t="shared" si="2"/>
        <v>378.28</v>
      </c>
      <c r="K47" s="8">
        <f t="shared" si="3"/>
        <v>2310.114107</v>
      </c>
      <c r="L47" s="9">
        <f t="shared" si="4"/>
        <v>0.8592914636</v>
      </c>
    </row>
    <row r="48" ht="22.5" customHeight="1">
      <c r="A48" s="4" t="s">
        <v>66</v>
      </c>
      <c r="B48" s="5">
        <v>45274.0</v>
      </c>
      <c r="C48" s="4" t="s">
        <v>16</v>
      </c>
      <c r="D48" s="4" t="s">
        <v>19</v>
      </c>
      <c r="E48" s="6">
        <v>8.0</v>
      </c>
      <c r="F48" s="7">
        <v>87.75</v>
      </c>
      <c r="G48" s="7">
        <v>676.78</v>
      </c>
      <c r="H48" s="6">
        <v>7.9</v>
      </c>
      <c r="I48" s="8">
        <f t="shared" si="1"/>
        <v>4986.51504</v>
      </c>
      <c r="J48" s="8">
        <f t="shared" si="2"/>
        <v>702</v>
      </c>
      <c r="K48" s="8">
        <f t="shared" si="3"/>
        <v>4284.51504</v>
      </c>
      <c r="L48" s="9">
        <f t="shared" si="4"/>
        <v>0.8592203183</v>
      </c>
    </row>
    <row r="49" ht="22.5" customHeight="1">
      <c r="A49" s="4" t="s">
        <v>67</v>
      </c>
      <c r="B49" s="5">
        <v>45047.0</v>
      </c>
      <c r="C49" s="4" t="s">
        <v>29</v>
      </c>
      <c r="D49" s="4" t="s">
        <v>17</v>
      </c>
      <c r="E49" s="6">
        <v>79.0</v>
      </c>
      <c r="F49" s="7">
        <v>25.83</v>
      </c>
      <c r="G49" s="7">
        <v>311.92</v>
      </c>
      <c r="H49" s="6">
        <v>43.44</v>
      </c>
      <c r="I49" s="8">
        <f t="shared" si="1"/>
        <v>13937.33421</v>
      </c>
      <c r="J49" s="8">
        <f t="shared" si="2"/>
        <v>2040.57</v>
      </c>
      <c r="K49" s="8">
        <f t="shared" si="3"/>
        <v>11896.76421</v>
      </c>
      <c r="L49" s="9">
        <f t="shared" si="4"/>
        <v>0.8535896485</v>
      </c>
    </row>
    <row r="50" ht="22.5" customHeight="1">
      <c r="A50" s="4" t="s">
        <v>68</v>
      </c>
      <c r="B50" s="5">
        <v>45054.0</v>
      </c>
      <c r="C50" s="4" t="s">
        <v>24</v>
      </c>
      <c r="D50" s="4" t="s">
        <v>22</v>
      </c>
      <c r="E50" s="6">
        <v>74.0</v>
      </c>
      <c r="F50" s="7">
        <v>63.95</v>
      </c>
      <c r="G50" s="7">
        <v>696.53</v>
      </c>
      <c r="H50" s="6">
        <v>39.6</v>
      </c>
      <c r="I50" s="8">
        <f t="shared" si="1"/>
        <v>31132.10488</v>
      </c>
      <c r="J50" s="8">
        <f t="shared" si="2"/>
        <v>4732.3</v>
      </c>
      <c r="K50" s="8">
        <f t="shared" si="3"/>
        <v>26399.80488</v>
      </c>
      <c r="L50" s="9">
        <f t="shared" si="4"/>
        <v>0.8479929315</v>
      </c>
    </row>
    <row r="51" ht="22.5" customHeight="1">
      <c r="A51" s="4" t="s">
        <v>69</v>
      </c>
      <c r="B51" s="5">
        <v>44946.0</v>
      </c>
      <c r="C51" s="4" t="s">
        <v>16</v>
      </c>
      <c r="D51" s="4" t="s">
        <v>22</v>
      </c>
      <c r="E51" s="6">
        <v>88.0</v>
      </c>
      <c r="F51" s="7">
        <v>64.97</v>
      </c>
      <c r="G51" s="7">
        <v>718.43</v>
      </c>
      <c r="H51" s="6">
        <v>42.44</v>
      </c>
      <c r="I51" s="8">
        <f t="shared" si="1"/>
        <v>36390.4911</v>
      </c>
      <c r="J51" s="8">
        <f t="shared" si="2"/>
        <v>5717.36</v>
      </c>
      <c r="K51" s="8">
        <f t="shared" si="3"/>
        <v>30673.1311</v>
      </c>
      <c r="L51" s="9">
        <f t="shared" si="4"/>
        <v>0.8428886276</v>
      </c>
    </row>
    <row r="52" ht="22.5" customHeight="1">
      <c r="A52" s="4" t="s">
        <v>70</v>
      </c>
      <c r="B52" s="5">
        <v>44996.0</v>
      </c>
      <c r="C52" s="4" t="s">
        <v>16</v>
      </c>
      <c r="D52" s="4" t="s">
        <v>22</v>
      </c>
      <c r="E52" s="6">
        <v>90.0</v>
      </c>
      <c r="F52" s="7">
        <v>148.81</v>
      </c>
      <c r="G52" s="7">
        <v>953.65</v>
      </c>
      <c r="H52" s="6">
        <v>1.24</v>
      </c>
      <c r="I52" s="8">
        <f t="shared" si="1"/>
        <v>84764.2266</v>
      </c>
      <c r="J52" s="8">
        <f t="shared" si="2"/>
        <v>13392.9</v>
      </c>
      <c r="K52" s="8">
        <f t="shared" si="3"/>
        <v>71371.3266</v>
      </c>
      <c r="L52" s="9">
        <f t="shared" si="4"/>
        <v>0.8419982045</v>
      </c>
    </row>
    <row r="53" ht="22.5" customHeight="1">
      <c r="A53" s="4" t="s">
        <v>71</v>
      </c>
      <c r="B53" s="5">
        <v>44954.0</v>
      </c>
      <c r="C53" s="4" t="s">
        <v>29</v>
      </c>
      <c r="D53" s="4" t="s">
        <v>22</v>
      </c>
      <c r="E53" s="6">
        <v>81.0</v>
      </c>
      <c r="F53" s="7">
        <v>83.26</v>
      </c>
      <c r="G53" s="7">
        <v>983.47</v>
      </c>
      <c r="H53" s="6">
        <v>46.81</v>
      </c>
      <c r="I53" s="8">
        <f t="shared" si="1"/>
        <v>42371.72313</v>
      </c>
      <c r="J53" s="8">
        <f t="shared" si="2"/>
        <v>6744.06</v>
      </c>
      <c r="K53" s="8">
        <f t="shared" si="3"/>
        <v>35627.66313</v>
      </c>
      <c r="L53" s="9">
        <f t="shared" si="4"/>
        <v>0.8408358334</v>
      </c>
    </row>
    <row r="54" ht="22.5" customHeight="1">
      <c r="A54" s="4" t="s">
        <v>72</v>
      </c>
      <c r="B54" s="5">
        <v>45032.0</v>
      </c>
      <c r="C54" s="4" t="s">
        <v>24</v>
      </c>
      <c r="D54" s="4" t="s">
        <v>19</v>
      </c>
      <c r="E54" s="6">
        <v>30.0</v>
      </c>
      <c r="F54" s="7">
        <v>120.09</v>
      </c>
      <c r="G54" s="7">
        <v>987.6</v>
      </c>
      <c r="H54" s="6">
        <v>23.9</v>
      </c>
      <c r="I54" s="8">
        <f t="shared" si="1"/>
        <v>22546.908</v>
      </c>
      <c r="J54" s="8">
        <f t="shared" si="2"/>
        <v>3602.7</v>
      </c>
      <c r="K54" s="8">
        <f t="shared" si="3"/>
        <v>18944.208</v>
      </c>
      <c r="L54" s="9">
        <f t="shared" si="4"/>
        <v>0.8402131237</v>
      </c>
    </row>
    <row r="55" ht="22.5" customHeight="1">
      <c r="A55" s="4" t="s">
        <v>73</v>
      </c>
      <c r="B55" s="5">
        <v>45236.0</v>
      </c>
      <c r="C55" s="4" t="s">
        <v>29</v>
      </c>
      <c r="D55" s="4" t="s">
        <v>22</v>
      </c>
      <c r="E55" s="6">
        <v>98.0</v>
      </c>
      <c r="F55" s="7">
        <v>20.86</v>
      </c>
      <c r="G55" s="7">
        <v>148.96</v>
      </c>
      <c r="H55" s="6">
        <v>12.61</v>
      </c>
      <c r="I55" s="8">
        <f t="shared" si="1"/>
        <v>12757.26211</v>
      </c>
      <c r="J55" s="8">
        <f t="shared" si="2"/>
        <v>2044.28</v>
      </c>
      <c r="K55" s="8">
        <f t="shared" si="3"/>
        <v>10712.98211</v>
      </c>
      <c r="L55" s="9">
        <f t="shared" si="4"/>
        <v>0.8397555853</v>
      </c>
    </row>
    <row r="56" ht="22.5" customHeight="1">
      <c r="A56" s="4" t="s">
        <v>74</v>
      </c>
      <c r="B56" s="5">
        <v>45247.0</v>
      </c>
      <c r="C56" s="4" t="s">
        <v>29</v>
      </c>
      <c r="D56" s="4" t="s">
        <v>22</v>
      </c>
      <c r="E56" s="6">
        <v>40.0</v>
      </c>
      <c r="F56" s="7">
        <v>37.38</v>
      </c>
      <c r="G56" s="7">
        <v>234.95</v>
      </c>
      <c r="H56" s="6">
        <v>2.26</v>
      </c>
      <c r="I56" s="8">
        <f t="shared" si="1"/>
        <v>9185.6052</v>
      </c>
      <c r="J56" s="8">
        <f t="shared" si="2"/>
        <v>1495.2</v>
      </c>
      <c r="K56" s="8">
        <f t="shared" si="3"/>
        <v>7690.4052</v>
      </c>
      <c r="L56" s="9">
        <f t="shared" si="4"/>
        <v>0.8372235724</v>
      </c>
    </row>
    <row r="57" ht="22.5" customHeight="1">
      <c r="A57" s="4" t="s">
        <v>75</v>
      </c>
      <c r="B57" s="5">
        <v>45214.0</v>
      </c>
      <c r="C57" s="4" t="s">
        <v>13</v>
      </c>
      <c r="D57" s="4" t="s">
        <v>19</v>
      </c>
      <c r="E57" s="6">
        <v>42.0</v>
      </c>
      <c r="F57" s="7">
        <v>134.07</v>
      </c>
      <c r="G57" s="7">
        <v>924.42</v>
      </c>
      <c r="H57" s="6">
        <v>11.19</v>
      </c>
      <c r="I57" s="8">
        <f t="shared" si="1"/>
        <v>34481.05088</v>
      </c>
      <c r="J57" s="8">
        <f t="shared" si="2"/>
        <v>5630.94</v>
      </c>
      <c r="K57" s="8">
        <f t="shared" si="3"/>
        <v>28850.11088</v>
      </c>
      <c r="L57" s="9">
        <f t="shared" si="4"/>
        <v>0.8366946524</v>
      </c>
    </row>
    <row r="58" ht="22.5" customHeight="1">
      <c r="A58" s="4" t="s">
        <v>76</v>
      </c>
      <c r="B58" s="5">
        <v>45054.0</v>
      </c>
      <c r="C58" s="4" t="s">
        <v>16</v>
      </c>
      <c r="D58" s="4" t="s">
        <v>17</v>
      </c>
      <c r="E58" s="6">
        <v>12.0</v>
      </c>
      <c r="F58" s="7">
        <v>56.2</v>
      </c>
      <c r="G58" s="7">
        <v>676.41</v>
      </c>
      <c r="H58" s="6">
        <v>49.61</v>
      </c>
      <c r="I58" s="8">
        <f t="shared" si="1"/>
        <v>4090.115988</v>
      </c>
      <c r="J58" s="8">
        <f t="shared" si="2"/>
        <v>674.4</v>
      </c>
      <c r="K58" s="8">
        <f t="shared" si="3"/>
        <v>3415.715988</v>
      </c>
      <c r="L58" s="9">
        <f t="shared" si="4"/>
        <v>0.8351147004</v>
      </c>
    </row>
    <row r="59" ht="22.5" customHeight="1">
      <c r="A59" s="4" t="s">
        <v>77</v>
      </c>
      <c r="B59" s="5">
        <v>45155.0</v>
      </c>
      <c r="C59" s="4" t="s">
        <v>21</v>
      </c>
      <c r="D59" s="4" t="s">
        <v>22</v>
      </c>
      <c r="E59" s="6">
        <v>74.0</v>
      </c>
      <c r="F59" s="7">
        <v>26.7</v>
      </c>
      <c r="G59" s="7">
        <v>202.09</v>
      </c>
      <c r="H59" s="6">
        <v>19.91</v>
      </c>
      <c r="I59" s="8">
        <f t="shared" si="1"/>
        <v>11977.18719</v>
      </c>
      <c r="J59" s="8">
        <f t="shared" si="2"/>
        <v>1975.8</v>
      </c>
      <c r="K59" s="8">
        <f t="shared" si="3"/>
        <v>10001.38719</v>
      </c>
      <c r="L59" s="9">
        <f t="shared" si="4"/>
        <v>0.8350363931</v>
      </c>
    </row>
    <row r="60" ht="22.5" customHeight="1">
      <c r="A60" s="4" t="s">
        <v>78</v>
      </c>
      <c r="B60" s="5">
        <v>45059.0</v>
      </c>
      <c r="C60" s="4" t="s">
        <v>24</v>
      </c>
      <c r="D60" s="4" t="s">
        <v>19</v>
      </c>
      <c r="E60" s="6">
        <v>36.0</v>
      </c>
      <c r="F60" s="7">
        <v>71.6</v>
      </c>
      <c r="G60" s="7">
        <v>646.43</v>
      </c>
      <c r="H60" s="6">
        <v>33.4</v>
      </c>
      <c r="I60" s="8">
        <f t="shared" si="1"/>
        <v>15498.80568</v>
      </c>
      <c r="J60" s="8">
        <f t="shared" si="2"/>
        <v>2577.6</v>
      </c>
      <c r="K60" s="8">
        <f t="shared" si="3"/>
        <v>12921.20568</v>
      </c>
      <c r="L60" s="9">
        <f t="shared" si="4"/>
        <v>0.8336904112</v>
      </c>
    </row>
    <row r="61" ht="22.5" customHeight="1">
      <c r="A61" s="4" t="s">
        <v>79</v>
      </c>
      <c r="B61" s="5">
        <v>45259.0</v>
      </c>
      <c r="C61" s="4" t="s">
        <v>24</v>
      </c>
      <c r="D61" s="4" t="s">
        <v>17</v>
      </c>
      <c r="E61" s="6">
        <v>30.0</v>
      </c>
      <c r="F61" s="7">
        <v>143.47</v>
      </c>
      <c r="G61" s="7">
        <v>908.49</v>
      </c>
      <c r="H61" s="6">
        <v>5.37</v>
      </c>
      <c r="I61" s="8">
        <f t="shared" si="1"/>
        <v>25791.12261</v>
      </c>
      <c r="J61" s="8">
        <f t="shared" si="2"/>
        <v>4304.1</v>
      </c>
      <c r="K61" s="8">
        <f t="shared" si="3"/>
        <v>21487.02261</v>
      </c>
      <c r="L61" s="9">
        <f t="shared" si="4"/>
        <v>0.8331169967</v>
      </c>
    </row>
    <row r="62" ht="22.5" customHeight="1">
      <c r="A62" s="4" t="s">
        <v>80</v>
      </c>
      <c r="B62" s="5">
        <v>45080.0</v>
      </c>
      <c r="C62" s="4" t="s">
        <v>21</v>
      </c>
      <c r="D62" s="4" t="s">
        <v>19</v>
      </c>
      <c r="E62" s="6">
        <v>14.0</v>
      </c>
      <c r="F62" s="7">
        <v>114.45</v>
      </c>
      <c r="G62" s="7">
        <v>953.56</v>
      </c>
      <c r="H62" s="6">
        <v>29.03</v>
      </c>
      <c r="I62" s="8">
        <f t="shared" si="1"/>
        <v>9474.381448</v>
      </c>
      <c r="J62" s="8">
        <f t="shared" si="2"/>
        <v>1602.3</v>
      </c>
      <c r="K62" s="8">
        <f t="shared" si="3"/>
        <v>7872.081448</v>
      </c>
      <c r="L62" s="9">
        <f t="shared" si="4"/>
        <v>0.83088078</v>
      </c>
    </row>
    <row r="63" ht="22.5" customHeight="1">
      <c r="A63" s="4" t="s">
        <v>81</v>
      </c>
      <c r="B63" s="5">
        <v>45263.0</v>
      </c>
      <c r="C63" s="4" t="s">
        <v>16</v>
      </c>
      <c r="D63" s="4" t="s">
        <v>17</v>
      </c>
      <c r="E63" s="6">
        <v>77.0</v>
      </c>
      <c r="F63" s="7">
        <v>95.47</v>
      </c>
      <c r="G63" s="7">
        <v>571.57</v>
      </c>
      <c r="H63" s="6">
        <v>2.94</v>
      </c>
      <c r="I63" s="8">
        <f t="shared" si="1"/>
        <v>42716.96983</v>
      </c>
      <c r="J63" s="8">
        <f t="shared" si="2"/>
        <v>7351.19</v>
      </c>
      <c r="K63" s="8">
        <f t="shared" si="3"/>
        <v>35365.77983</v>
      </c>
      <c r="L63" s="9">
        <f t="shared" si="4"/>
        <v>0.8279093759</v>
      </c>
    </row>
    <row r="64" ht="22.5" customHeight="1">
      <c r="A64" s="4" t="s">
        <v>82</v>
      </c>
      <c r="B64" s="5">
        <v>45126.0</v>
      </c>
      <c r="C64" s="4" t="s">
        <v>13</v>
      </c>
      <c r="D64" s="4" t="s">
        <v>22</v>
      </c>
      <c r="E64" s="6">
        <v>13.0</v>
      </c>
      <c r="F64" s="7">
        <v>75.48</v>
      </c>
      <c r="G64" s="7">
        <v>825.7</v>
      </c>
      <c r="H64" s="6">
        <v>46.92</v>
      </c>
      <c r="I64" s="8">
        <f t="shared" si="1"/>
        <v>5697.66028</v>
      </c>
      <c r="J64" s="8">
        <f t="shared" si="2"/>
        <v>981.24</v>
      </c>
      <c r="K64" s="8">
        <f t="shared" si="3"/>
        <v>4716.42028</v>
      </c>
      <c r="L64" s="9">
        <f t="shared" si="4"/>
        <v>0.82778194</v>
      </c>
    </row>
    <row r="65" ht="22.5" customHeight="1">
      <c r="A65" s="4" t="s">
        <v>49</v>
      </c>
      <c r="B65" s="5">
        <v>45015.0</v>
      </c>
      <c r="C65" s="4" t="s">
        <v>29</v>
      </c>
      <c r="D65" s="4" t="s">
        <v>22</v>
      </c>
      <c r="E65" s="6">
        <v>77.0</v>
      </c>
      <c r="F65" s="7">
        <v>100.04</v>
      </c>
      <c r="G65" s="7">
        <v>733.06</v>
      </c>
      <c r="H65" s="6">
        <v>20.83</v>
      </c>
      <c r="I65" s="8">
        <f t="shared" si="1"/>
        <v>44687.99735</v>
      </c>
      <c r="J65" s="8">
        <f t="shared" si="2"/>
        <v>7703.08</v>
      </c>
      <c r="K65" s="8">
        <f t="shared" si="3"/>
        <v>36984.91735</v>
      </c>
      <c r="L65" s="9">
        <f t="shared" si="4"/>
        <v>0.8276253031</v>
      </c>
    </row>
    <row r="66" ht="22.5" customHeight="1">
      <c r="A66" s="4" t="s">
        <v>83</v>
      </c>
      <c r="B66" s="5">
        <v>44928.0</v>
      </c>
      <c r="C66" s="4" t="s">
        <v>29</v>
      </c>
      <c r="D66" s="4" t="s">
        <v>19</v>
      </c>
      <c r="E66" s="6">
        <v>88.0</v>
      </c>
      <c r="F66" s="7">
        <v>111.72</v>
      </c>
      <c r="G66" s="7">
        <v>824.49</v>
      </c>
      <c r="H66" s="6">
        <v>25.55</v>
      </c>
      <c r="I66" s="8">
        <f t="shared" si="1"/>
        <v>54017.28684</v>
      </c>
      <c r="J66" s="8">
        <f t="shared" si="2"/>
        <v>9831.36</v>
      </c>
      <c r="K66" s="8">
        <f t="shared" si="3"/>
        <v>44185.92684</v>
      </c>
      <c r="L66" s="9">
        <f t="shared" si="4"/>
        <v>0.8179960421</v>
      </c>
    </row>
    <row r="67" ht="22.5" customHeight="1">
      <c r="A67" s="4" t="s">
        <v>84</v>
      </c>
      <c r="B67" s="5">
        <v>45133.0</v>
      </c>
      <c r="C67" s="4" t="s">
        <v>13</v>
      </c>
      <c r="D67" s="4" t="s">
        <v>14</v>
      </c>
      <c r="E67" s="6">
        <v>66.0</v>
      </c>
      <c r="F67" s="7">
        <v>156.28</v>
      </c>
      <c r="G67" s="7">
        <v>864.27</v>
      </c>
      <c r="H67" s="6">
        <v>0.97</v>
      </c>
      <c r="I67" s="8">
        <f t="shared" si="1"/>
        <v>56488.51435</v>
      </c>
      <c r="J67" s="8">
        <f t="shared" si="2"/>
        <v>10314.48</v>
      </c>
      <c r="K67" s="8">
        <f t="shared" si="3"/>
        <v>46174.03435</v>
      </c>
      <c r="L67" s="9">
        <f t="shared" si="4"/>
        <v>0.817405713</v>
      </c>
    </row>
    <row r="68" ht="22.5" customHeight="1">
      <c r="A68" s="4" t="s">
        <v>85</v>
      </c>
      <c r="B68" s="5">
        <v>45048.0</v>
      </c>
      <c r="C68" s="4" t="s">
        <v>29</v>
      </c>
      <c r="D68" s="4" t="s">
        <v>22</v>
      </c>
      <c r="E68" s="6">
        <v>94.0</v>
      </c>
      <c r="F68" s="7">
        <v>61.88</v>
      </c>
      <c r="G68" s="7">
        <v>569.39</v>
      </c>
      <c r="H68" s="6">
        <v>42.47</v>
      </c>
      <c r="I68" s="8">
        <f t="shared" si="1"/>
        <v>30791.5863</v>
      </c>
      <c r="J68" s="8">
        <f t="shared" si="2"/>
        <v>5816.72</v>
      </c>
      <c r="K68" s="8">
        <f t="shared" si="3"/>
        <v>24974.8663</v>
      </c>
      <c r="L68" s="9">
        <f t="shared" si="4"/>
        <v>0.8110938506</v>
      </c>
    </row>
    <row r="69" ht="22.5" customHeight="1">
      <c r="A69" s="4" t="s">
        <v>43</v>
      </c>
      <c r="B69" s="5">
        <v>45051.0</v>
      </c>
      <c r="C69" s="4" t="s">
        <v>21</v>
      </c>
      <c r="D69" s="4" t="s">
        <v>22</v>
      </c>
      <c r="E69" s="6">
        <v>71.0</v>
      </c>
      <c r="F69" s="7">
        <v>128.02</v>
      </c>
      <c r="G69" s="7">
        <v>821.64</v>
      </c>
      <c r="H69" s="6">
        <v>17.84</v>
      </c>
      <c r="I69" s="8">
        <f t="shared" si="1"/>
        <v>47929.2191</v>
      </c>
      <c r="J69" s="8">
        <f t="shared" si="2"/>
        <v>9089.42</v>
      </c>
      <c r="K69" s="8">
        <f t="shared" si="3"/>
        <v>38839.7991</v>
      </c>
      <c r="L69" s="9">
        <f t="shared" si="4"/>
        <v>0.810357436</v>
      </c>
    </row>
    <row r="70" ht="22.5" customHeight="1">
      <c r="A70" s="4" t="s">
        <v>86</v>
      </c>
      <c r="B70" s="5">
        <v>44972.0</v>
      </c>
      <c r="C70" s="4" t="s">
        <v>21</v>
      </c>
      <c r="D70" s="4" t="s">
        <v>22</v>
      </c>
      <c r="E70" s="6">
        <v>41.0</v>
      </c>
      <c r="F70" s="7">
        <v>101.53</v>
      </c>
      <c r="G70" s="7">
        <v>809.41</v>
      </c>
      <c r="H70" s="6">
        <v>36.42</v>
      </c>
      <c r="I70" s="8">
        <f t="shared" si="1"/>
        <v>21099.538</v>
      </c>
      <c r="J70" s="8">
        <f t="shared" si="2"/>
        <v>4162.73</v>
      </c>
      <c r="K70" s="8">
        <f t="shared" si="3"/>
        <v>16936.808</v>
      </c>
      <c r="L70" s="9">
        <f t="shared" si="4"/>
        <v>0.8027098982</v>
      </c>
    </row>
    <row r="71" ht="22.5" customHeight="1">
      <c r="A71" s="4" t="s">
        <v>53</v>
      </c>
      <c r="B71" s="5">
        <v>44959.0</v>
      </c>
      <c r="C71" s="4" t="s">
        <v>16</v>
      </c>
      <c r="D71" s="4" t="s">
        <v>19</v>
      </c>
      <c r="E71" s="6">
        <v>36.0</v>
      </c>
      <c r="F71" s="7">
        <v>194.6</v>
      </c>
      <c r="G71" s="7">
        <v>988.46</v>
      </c>
      <c r="H71" s="6">
        <v>1.52</v>
      </c>
      <c r="I71" s="8">
        <f t="shared" si="1"/>
        <v>35043.67469</v>
      </c>
      <c r="J71" s="8">
        <f t="shared" si="2"/>
        <v>7005.6</v>
      </c>
      <c r="K71" s="8">
        <f t="shared" si="3"/>
        <v>28038.07469</v>
      </c>
      <c r="L71" s="9">
        <f t="shared" si="4"/>
        <v>0.800089458</v>
      </c>
    </row>
    <row r="72" ht="22.5" customHeight="1">
      <c r="A72" s="4" t="s">
        <v>87</v>
      </c>
      <c r="B72" s="5">
        <v>45260.0</v>
      </c>
      <c r="C72" s="4" t="s">
        <v>29</v>
      </c>
      <c r="D72" s="4" t="s">
        <v>17</v>
      </c>
      <c r="E72" s="6">
        <v>22.0</v>
      </c>
      <c r="F72" s="7">
        <v>117.23</v>
      </c>
      <c r="G72" s="7">
        <v>707.03</v>
      </c>
      <c r="H72" s="6">
        <v>18.23</v>
      </c>
      <c r="I72" s="8">
        <f t="shared" si="1"/>
        <v>12719.04548</v>
      </c>
      <c r="J72" s="8">
        <f t="shared" si="2"/>
        <v>2579.06</v>
      </c>
      <c r="K72" s="8">
        <f t="shared" si="3"/>
        <v>10139.98548</v>
      </c>
      <c r="L72" s="9">
        <f t="shared" si="4"/>
        <v>0.7972284946</v>
      </c>
    </row>
    <row r="73" ht="22.5" customHeight="1">
      <c r="A73" s="4" t="s">
        <v>88</v>
      </c>
      <c r="B73" s="5">
        <v>45154.0</v>
      </c>
      <c r="C73" s="4" t="s">
        <v>24</v>
      </c>
      <c r="D73" s="4" t="s">
        <v>22</v>
      </c>
      <c r="E73" s="6">
        <v>68.0</v>
      </c>
      <c r="F73" s="7">
        <v>120.77</v>
      </c>
      <c r="G73" s="7">
        <v>780.97</v>
      </c>
      <c r="H73" s="6">
        <v>23.8</v>
      </c>
      <c r="I73" s="8">
        <f t="shared" si="1"/>
        <v>40466.74152</v>
      </c>
      <c r="J73" s="8">
        <f t="shared" si="2"/>
        <v>8212.36</v>
      </c>
      <c r="K73" s="8">
        <f t="shared" si="3"/>
        <v>32254.38152</v>
      </c>
      <c r="L73" s="9">
        <f t="shared" si="4"/>
        <v>0.7970590245</v>
      </c>
    </row>
    <row r="74" ht="22.5" customHeight="1">
      <c r="A74" s="4" t="s">
        <v>89</v>
      </c>
      <c r="B74" s="5">
        <v>44943.0</v>
      </c>
      <c r="C74" s="4" t="s">
        <v>21</v>
      </c>
      <c r="D74" s="4" t="s">
        <v>22</v>
      </c>
      <c r="E74" s="6">
        <v>8.0</v>
      </c>
      <c r="F74" s="7">
        <v>89.45</v>
      </c>
      <c r="G74" s="7">
        <v>435.65</v>
      </c>
      <c r="H74" s="6">
        <v>0.2</v>
      </c>
      <c r="I74" s="8">
        <f t="shared" si="1"/>
        <v>3478.2296</v>
      </c>
      <c r="J74" s="8">
        <f t="shared" si="2"/>
        <v>715.6</v>
      </c>
      <c r="K74" s="8">
        <f t="shared" si="3"/>
        <v>2762.6296</v>
      </c>
      <c r="L74" s="9">
        <f t="shared" si="4"/>
        <v>0.7942631504</v>
      </c>
    </row>
    <row r="75" ht="22.5" customHeight="1">
      <c r="A75" s="4" t="s">
        <v>90</v>
      </c>
      <c r="B75" s="5">
        <v>45279.0</v>
      </c>
      <c r="C75" s="4" t="s">
        <v>24</v>
      </c>
      <c r="D75" s="4" t="s">
        <v>19</v>
      </c>
      <c r="E75" s="6">
        <v>64.0</v>
      </c>
      <c r="F75" s="7">
        <v>134.61</v>
      </c>
      <c r="G75" s="7">
        <v>813.92</v>
      </c>
      <c r="H75" s="6">
        <v>20.25</v>
      </c>
      <c r="I75" s="8">
        <f t="shared" si="1"/>
        <v>41542.4768</v>
      </c>
      <c r="J75" s="8">
        <f t="shared" si="2"/>
        <v>8615.04</v>
      </c>
      <c r="K75" s="8">
        <f t="shared" si="3"/>
        <v>32927.4368</v>
      </c>
      <c r="L75" s="9">
        <f t="shared" si="4"/>
        <v>0.7926209349</v>
      </c>
    </row>
    <row r="76" ht="22.5" customHeight="1">
      <c r="A76" s="4" t="s">
        <v>91</v>
      </c>
      <c r="B76" s="5">
        <v>45063.0</v>
      </c>
      <c r="C76" s="4" t="s">
        <v>29</v>
      </c>
      <c r="D76" s="4" t="s">
        <v>19</v>
      </c>
      <c r="E76" s="6">
        <v>18.0</v>
      </c>
      <c r="F76" s="7">
        <v>65.28</v>
      </c>
      <c r="G76" s="7">
        <v>377.55</v>
      </c>
      <c r="H76" s="6">
        <v>17.48</v>
      </c>
      <c r="I76" s="8">
        <f t="shared" si="1"/>
        <v>5607.97668</v>
      </c>
      <c r="J76" s="8">
        <f t="shared" si="2"/>
        <v>1175.04</v>
      </c>
      <c r="K76" s="8">
        <f t="shared" si="3"/>
        <v>4432.93668</v>
      </c>
      <c r="L76" s="9">
        <f t="shared" si="4"/>
        <v>0.7904698848</v>
      </c>
    </row>
    <row r="77" ht="22.5" customHeight="1">
      <c r="A77" s="4" t="s">
        <v>92</v>
      </c>
      <c r="B77" s="5">
        <v>45163.0</v>
      </c>
      <c r="C77" s="4" t="s">
        <v>24</v>
      </c>
      <c r="D77" s="4" t="s">
        <v>19</v>
      </c>
      <c r="E77" s="6">
        <v>85.0</v>
      </c>
      <c r="F77" s="7">
        <v>138.46</v>
      </c>
      <c r="G77" s="7">
        <v>670.18</v>
      </c>
      <c r="H77" s="6">
        <v>2.92</v>
      </c>
      <c r="I77" s="8">
        <f t="shared" si="1"/>
        <v>55301.91324</v>
      </c>
      <c r="J77" s="8">
        <f t="shared" si="2"/>
        <v>11769.1</v>
      </c>
      <c r="K77" s="8">
        <f t="shared" si="3"/>
        <v>43532.81324</v>
      </c>
      <c r="L77" s="9">
        <f t="shared" si="4"/>
        <v>0.7871845781</v>
      </c>
    </row>
    <row r="78" ht="22.5" customHeight="1">
      <c r="A78" s="4" t="s">
        <v>93</v>
      </c>
      <c r="B78" s="5">
        <v>45002.0</v>
      </c>
      <c r="C78" s="4" t="s">
        <v>21</v>
      </c>
      <c r="D78" s="4" t="s">
        <v>17</v>
      </c>
      <c r="E78" s="6">
        <v>66.0</v>
      </c>
      <c r="F78" s="7">
        <v>109.05</v>
      </c>
      <c r="G78" s="7">
        <v>556.19</v>
      </c>
      <c r="H78" s="6">
        <v>9.89</v>
      </c>
      <c r="I78" s="8">
        <f t="shared" si="1"/>
        <v>33078.06539</v>
      </c>
      <c r="J78" s="8">
        <f t="shared" si="2"/>
        <v>7197.3</v>
      </c>
      <c r="K78" s="8">
        <f t="shared" si="3"/>
        <v>25880.76539</v>
      </c>
      <c r="L78" s="9">
        <f t="shared" si="4"/>
        <v>0.7824147236</v>
      </c>
    </row>
    <row r="79" ht="22.5" customHeight="1">
      <c r="A79" s="4" t="s">
        <v>94</v>
      </c>
      <c r="B79" s="5">
        <v>44927.0</v>
      </c>
      <c r="C79" s="4" t="s">
        <v>21</v>
      </c>
      <c r="D79" s="4" t="s">
        <v>17</v>
      </c>
      <c r="E79" s="6">
        <v>60.0</v>
      </c>
      <c r="F79" s="7">
        <v>141.72</v>
      </c>
      <c r="G79" s="7">
        <v>823.87</v>
      </c>
      <c r="H79" s="6">
        <v>21.23</v>
      </c>
      <c r="I79" s="8">
        <f t="shared" si="1"/>
        <v>38937.74394</v>
      </c>
      <c r="J79" s="8">
        <f t="shared" si="2"/>
        <v>8503.2</v>
      </c>
      <c r="K79" s="8">
        <f t="shared" si="3"/>
        <v>30434.54394</v>
      </c>
      <c r="L79" s="9">
        <f t="shared" si="4"/>
        <v>0.7816206298</v>
      </c>
    </row>
    <row r="80" ht="22.5" customHeight="1">
      <c r="A80" s="4" t="s">
        <v>95</v>
      </c>
      <c r="B80" s="5">
        <v>45236.0</v>
      </c>
      <c r="C80" s="4" t="s">
        <v>29</v>
      </c>
      <c r="D80" s="4" t="s">
        <v>22</v>
      </c>
      <c r="E80" s="6">
        <v>10.0</v>
      </c>
      <c r="F80" s="7">
        <v>157.11</v>
      </c>
      <c r="G80" s="7">
        <v>841.36</v>
      </c>
      <c r="H80" s="6">
        <v>14.81</v>
      </c>
      <c r="I80" s="8">
        <f t="shared" si="1"/>
        <v>7167.54584</v>
      </c>
      <c r="J80" s="8">
        <f t="shared" si="2"/>
        <v>1571.1</v>
      </c>
      <c r="K80" s="8">
        <f t="shared" si="3"/>
        <v>5596.44584</v>
      </c>
      <c r="L80" s="9">
        <f t="shared" si="4"/>
        <v>0.7808036342</v>
      </c>
    </row>
    <row r="81" ht="22.5" customHeight="1">
      <c r="A81" s="4" t="s">
        <v>96</v>
      </c>
      <c r="B81" s="5">
        <v>45054.0</v>
      </c>
      <c r="C81" s="4" t="s">
        <v>16</v>
      </c>
      <c r="D81" s="4" t="s">
        <v>17</v>
      </c>
      <c r="E81" s="6">
        <v>70.0</v>
      </c>
      <c r="F81" s="7">
        <v>112.16</v>
      </c>
      <c r="G81" s="7">
        <v>988.93</v>
      </c>
      <c r="H81" s="6">
        <v>48.51</v>
      </c>
      <c r="I81" s="8">
        <f t="shared" si="1"/>
        <v>35644.00399</v>
      </c>
      <c r="J81" s="8">
        <f t="shared" si="2"/>
        <v>7851.2</v>
      </c>
      <c r="K81" s="8">
        <f t="shared" si="3"/>
        <v>27792.80399</v>
      </c>
      <c r="L81" s="9">
        <f t="shared" si="4"/>
        <v>0.779732939</v>
      </c>
    </row>
    <row r="82" ht="22.5" customHeight="1">
      <c r="A82" s="4" t="s">
        <v>97</v>
      </c>
      <c r="B82" s="5">
        <v>45265.0</v>
      </c>
      <c r="C82" s="4" t="s">
        <v>21</v>
      </c>
      <c r="D82" s="4" t="s">
        <v>19</v>
      </c>
      <c r="E82" s="6">
        <v>44.0</v>
      </c>
      <c r="F82" s="7">
        <v>87.1</v>
      </c>
      <c r="G82" s="7">
        <v>429.53</v>
      </c>
      <c r="H82" s="6">
        <v>9.9</v>
      </c>
      <c r="I82" s="8">
        <f t="shared" si="1"/>
        <v>17028.28732</v>
      </c>
      <c r="J82" s="8">
        <f t="shared" si="2"/>
        <v>3832.4</v>
      </c>
      <c r="K82" s="8">
        <f t="shared" si="3"/>
        <v>13195.88732</v>
      </c>
      <c r="L82" s="9">
        <f t="shared" si="4"/>
        <v>0.7749391981</v>
      </c>
    </row>
    <row r="83" ht="22.5" customHeight="1">
      <c r="A83" s="4" t="s">
        <v>98</v>
      </c>
      <c r="B83" s="5">
        <v>45146.0</v>
      </c>
      <c r="C83" s="4" t="s">
        <v>24</v>
      </c>
      <c r="D83" s="4" t="s">
        <v>19</v>
      </c>
      <c r="E83" s="6">
        <v>19.0</v>
      </c>
      <c r="F83" s="7">
        <v>59.83</v>
      </c>
      <c r="G83" s="7">
        <v>291.19</v>
      </c>
      <c r="H83" s="6">
        <v>9.74</v>
      </c>
      <c r="I83" s="8">
        <f t="shared" si="1"/>
        <v>4993.733786</v>
      </c>
      <c r="J83" s="8">
        <f t="shared" si="2"/>
        <v>1136.77</v>
      </c>
      <c r="K83" s="8">
        <f t="shared" si="3"/>
        <v>3856.963786</v>
      </c>
      <c r="L83" s="9">
        <f t="shared" si="4"/>
        <v>0.7723607127</v>
      </c>
    </row>
    <row r="84" ht="22.5" customHeight="1">
      <c r="A84" s="4" t="s">
        <v>99</v>
      </c>
      <c r="B84" s="5">
        <v>45003.0</v>
      </c>
      <c r="C84" s="4" t="s">
        <v>16</v>
      </c>
      <c r="D84" s="4" t="s">
        <v>22</v>
      </c>
      <c r="E84" s="6">
        <v>73.0</v>
      </c>
      <c r="F84" s="7">
        <v>125.56</v>
      </c>
      <c r="G84" s="7">
        <v>558.66</v>
      </c>
      <c r="H84" s="6">
        <v>1.88</v>
      </c>
      <c r="I84" s="8">
        <f t="shared" si="1"/>
        <v>40015.47502</v>
      </c>
      <c r="J84" s="8">
        <f t="shared" si="2"/>
        <v>9165.88</v>
      </c>
      <c r="K84" s="8">
        <f t="shared" si="3"/>
        <v>30849.59502</v>
      </c>
      <c r="L84" s="9">
        <f t="shared" si="4"/>
        <v>0.7709416171</v>
      </c>
    </row>
    <row r="85" ht="22.5" customHeight="1">
      <c r="A85" s="4" t="s">
        <v>100</v>
      </c>
      <c r="B85" s="5">
        <v>45239.0</v>
      </c>
      <c r="C85" s="4" t="s">
        <v>16</v>
      </c>
      <c r="D85" s="4" t="s">
        <v>14</v>
      </c>
      <c r="E85" s="6">
        <v>100.0</v>
      </c>
      <c r="F85" s="7">
        <v>63.63</v>
      </c>
      <c r="G85" s="7">
        <v>383.94</v>
      </c>
      <c r="H85" s="6">
        <v>30.38</v>
      </c>
      <c r="I85" s="8">
        <f t="shared" si="1"/>
        <v>26729.9028</v>
      </c>
      <c r="J85" s="8">
        <f t="shared" si="2"/>
        <v>6363</v>
      </c>
      <c r="K85" s="8">
        <f t="shared" si="3"/>
        <v>20366.9028</v>
      </c>
      <c r="L85" s="9">
        <f t="shared" si="4"/>
        <v>0.7619519963</v>
      </c>
    </row>
    <row r="86" ht="22.5" customHeight="1">
      <c r="A86" s="4" t="s">
        <v>101</v>
      </c>
      <c r="B86" s="5">
        <v>45103.0</v>
      </c>
      <c r="C86" s="4" t="s">
        <v>24</v>
      </c>
      <c r="D86" s="4" t="s">
        <v>22</v>
      </c>
      <c r="E86" s="6">
        <v>38.0</v>
      </c>
      <c r="F86" s="7">
        <v>160.47</v>
      </c>
      <c r="G86" s="7">
        <v>961.36</v>
      </c>
      <c r="H86" s="6">
        <v>30.06</v>
      </c>
      <c r="I86" s="8">
        <f t="shared" si="1"/>
        <v>25550.25699</v>
      </c>
      <c r="J86" s="8">
        <f t="shared" si="2"/>
        <v>6097.86</v>
      </c>
      <c r="K86" s="8">
        <f t="shared" si="3"/>
        <v>19452.39699</v>
      </c>
      <c r="L86" s="9">
        <f t="shared" si="4"/>
        <v>0.7613386041</v>
      </c>
    </row>
    <row r="87" ht="22.5" customHeight="1">
      <c r="A87" s="4" t="s">
        <v>102</v>
      </c>
      <c r="B87" s="5">
        <v>45040.0</v>
      </c>
      <c r="C87" s="4" t="s">
        <v>21</v>
      </c>
      <c r="D87" s="4" t="s">
        <v>22</v>
      </c>
      <c r="E87" s="6">
        <v>35.0</v>
      </c>
      <c r="F87" s="7">
        <v>98.56</v>
      </c>
      <c r="G87" s="7">
        <v>629.63</v>
      </c>
      <c r="H87" s="6">
        <v>34.58</v>
      </c>
      <c r="I87" s="8">
        <f t="shared" si="1"/>
        <v>14416.63811</v>
      </c>
      <c r="J87" s="8">
        <f t="shared" si="2"/>
        <v>3449.6</v>
      </c>
      <c r="K87" s="8">
        <f t="shared" si="3"/>
        <v>10967.03811</v>
      </c>
      <c r="L87" s="9">
        <f t="shared" si="4"/>
        <v>0.7607209133</v>
      </c>
    </row>
    <row r="88" ht="22.5" customHeight="1">
      <c r="A88" s="4" t="s">
        <v>103</v>
      </c>
      <c r="B88" s="5">
        <v>44933.0</v>
      </c>
      <c r="C88" s="4" t="s">
        <v>29</v>
      </c>
      <c r="D88" s="4" t="s">
        <v>14</v>
      </c>
      <c r="E88" s="6">
        <v>51.0</v>
      </c>
      <c r="F88" s="7">
        <v>168.59</v>
      </c>
      <c r="G88" s="7">
        <v>750.54</v>
      </c>
      <c r="H88" s="6">
        <v>6.32</v>
      </c>
      <c r="I88" s="8">
        <f t="shared" si="1"/>
        <v>35858.39947</v>
      </c>
      <c r="J88" s="8">
        <f t="shared" si="2"/>
        <v>8598.09</v>
      </c>
      <c r="K88" s="8">
        <f t="shared" si="3"/>
        <v>27260.30947</v>
      </c>
      <c r="L88" s="9">
        <f t="shared" si="4"/>
        <v>0.7602210325</v>
      </c>
    </row>
    <row r="89" ht="22.5" customHeight="1">
      <c r="A89" s="4" t="s">
        <v>104</v>
      </c>
      <c r="B89" s="5">
        <v>45211.0</v>
      </c>
      <c r="C89" s="4" t="s">
        <v>21</v>
      </c>
      <c r="D89" s="4" t="s">
        <v>14</v>
      </c>
      <c r="E89" s="6">
        <v>17.0</v>
      </c>
      <c r="F89" s="7">
        <v>122.01</v>
      </c>
      <c r="G89" s="7">
        <v>538.15</v>
      </c>
      <c r="H89" s="6">
        <v>5.48</v>
      </c>
      <c r="I89" s="8">
        <f t="shared" si="1"/>
        <v>8647.20946</v>
      </c>
      <c r="J89" s="8">
        <f t="shared" si="2"/>
        <v>2074.17</v>
      </c>
      <c r="K89" s="8">
        <f t="shared" si="3"/>
        <v>6573.03946</v>
      </c>
      <c r="L89" s="9">
        <f t="shared" si="4"/>
        <v>0.7601341786</v>
      </c>
    </row>
    <row r="90" ht="22.5" customHeight="1">
      <c r="A90" s="4" t="s">
        <v>105</v>
      </c>
      <c r="B90" s="5">
        <v>44968.0</v>
      </c>
      <c r="C90" s="4" t="s">
        <v>13</v>
      </c>
      <c r="D90" s="4" t="s">
        <v>14</v>
      </c>
      <c r="E90" s="6">
        <v>23.0</v>
      </c>
      <c r="F90" s="7">
        <v>197.99</v>
      </c>
      <c r="G90" s="7">
        <v>916.69</v>
      </c>
      <c r="H90" s="6">
        <v>10.21</v>
      </c>
      <c r="I90" s="8">
        <f t="shared" si="1"/>
        <v>18931.20687</v>
      </c>
      <c r="J90" s="8">
        <f t="shared" si="2"/>
        <v>4553.77</v>
      </c>
      <c r="K90" s="8">
        <f t="shared" si="3"/>
        <v>14377.43687</v>
      </c>
      <c r="L90" s="9">
        <f t="shared" si="4"/>
        <v>0.7594569628</v>
      </c>
    </row>
    <row r="91" ht="22.5" customHeight="1">
      <c r="A91" s="4" t="s">
        <v>106</v>
      </c>
      <c r="B91" s="5">
        <v>45285.0</v>
      </c>
      <c r="C91" s="4" t="s">
        <v>13</v>
      </c>
      <c r="D91" s="4" t="s">
        <v>19</v>
      </c>
      <c r="E91" s="6">
        <v>75.0</v>
      </c>
      <c r="F91" s="7">
        <v>142.89</v>
      </c>
      <c r="G91" s="7">
        <v>796.97</v>
      </c>
      <c r="H91" s="6">
        <v>27.39</v>
      </c>
      <c r="I91" s="8">
        <f t="shared" si="1"/>
        <v>43400.99378</v>
      </c>
      <c r="J91" s="8">
        <f t="shared" si="2"/>
        <v>10716.75</v>
      </c>
      <c r="K91" s="8">
        <f t="shared" si="3"/>
        <v>32684.24378</v>
      </c>
      <c r="L91" s="9">
        <f t="shared" si="4"/>
        <v>0.7530759306</v>
      </c>
    </row>
    <row r="92" ht="22.5" customHeight="1">
      <c r="A92" s="4" t="s">
        <v>107</v>
      </c>
      <c r="B92" s="5">
        <v>44996.0</v>
      </c>
      <c r="C92" s="4" t="s">
        <v>13</v>
      </c>
      <c r="D92" s="4" t="s">
        <v>14</v>
      </c>
      <c r="E92" s="6">
        <v>56.0</v>
      </c>
      <c r="F92" s="7">
        <v>117.22</v>
      </c>
      <c r="G92" s="7">
        <v>496.39</v>
      </c>
      <c r="H92" s="6">
        <v>4.93</v>
      </c>
      <c r="I92" s="8">
        <f t="shared" si="1"/>
        <v>26427.40649</v>
      </c>
      <c r="J92" s="8">
        <f t="shared" si="2"/>
        <v>6564.32</v>
      </c>
      <c r="K92" s="8">
        <f t="shared" si="3"/>
        <v>19863.08649</v>
      </c>
      <c r="L92" s="9">
        <f t="shared" si="4"/>
        <v>0.7516093756</v>
      </c>
    </row>
    <row r="93" ht="22.5" customHeight="1">
      <c r="A93" s="4" t="s">
        <v>108</v>
      </c>
      <c r="B93" s="5">
        <v>45012.0</v>
      </c>
      <c r="C93" s="4" t="s">
        <v>13</v>
      </c>
      <c r="D93" s="4" t="s">
        <v>19</v>
      </c>
      <c r="E93" s="6">
        <v>64.0</v>
      </c>
      <c r="F93" s="7">
        <v>41.85</v>
      </c>
      <c r="G93" s="7">
        <v>307.36</v>
      </c>
      <c r="H93" s="6">
        <v>45.78</v>
      </c>
      <c r="I93" s="8">
        <f t="shared" si="1"/>
        <v>10665.63789</v>
      </c>
      <c r="J93" s="8">
        <f t="shared" si="2"/>
        <v>2678.4</v>
      </c>
      <c r="K93" s="8">
        <f t="shared" si="3"/>
        <v>7987.237888</v>
      </c>
      <c r="L93" s="9">
        <f t="shared" si="4"/>
        <v>0.7488757796</v>
      </c>
    </row>
    <row r="94" ht="22.5" customHeight="1">
      <c r="A94" s="4" t="s">
        <v>109</v>
      </c>
      <c r="B94" s="5">
        <v>45274.0</v>
      </c>
      <c r="C94" s="4" t="s">
        <v>13</v>
      </c>
      <c r="D94" s="4" t="s">
        <v>14</v>
      </c>
      <c r="E94" s="6">
        <v>92.0</v>
      </c>
      <c r="F94" s="7">
        <v>137.0</v>
      </c>
      <c r="G94" s="7">
        <v>838.72</v>
      </c>
      <c r="H94" s="6">
        <v>35.27</v>
      </c>
      <c r="I94" s="8">
        <f t="shared" si="1"/>
        <v>49947.11795</v>
      </c>
      <c r="J94" s="8">
        <f t="shared" si="2"/>
        <v>12604</v>
      </c>
      <c r="K94" s="8">
        <f t="shared" si="3"/>
        <v>37343.11795</v>
      </c>
      <c r="L94" s="9">
        <f t="shared" si="4"/>
        <v>0.7476531076</v>
      </c>
    </row>
    <row r="95" ht="22.5" customHeight="1">
      <c r="A95" s="4" t="s">
        <v>110</v>
      </c>
      <c r="B95" s="5">
        <v>45226.0</v>
      </c>
      <c r="C95" s="4" t="s">
        <v>24</v>
      </c>
      <c r="D95" s="4" t="s">
        <v>14</v>
      </c>
      <c r="E95" s="6">
        <v>7.0</v>
      </c>
      <c r="F95" s="7">
        <v>205.92</v>
      </c>
      <c r="G95" s="7">
        <v>935.43</v>
      </c>
      <c r="H95" s="6">
        <v>15.04</v>
      </c>
      <c r="I95" s="8">
        <f t="shared" si="1"/>
        <v>5563.189296</v>
      </c>
      <c r="J95" s="8">
        <f t="shared" si="2"/>
        <v>1441.44</v>
      </c>
      <c r="K95" s="8">
        <f t="shared" si="3"/>
        <v>4121.749296</v>
      </c>
      <c r="L95" s="9">
        <f t="shared" si="4"/>
        <v>0.7408968267</v>
      </c>
    </row>
    <row r="96" ht="22.5" customHeight="1">
      <c r="A96" s="4" t="s">
        <v>111</v>
      </c>
      <c r="B96" s="5">
        <v>45223.0</v>
      </c>
      <c r="C96" s="4" t="s">
        <v>13</v>
      </c>
      <c r="D96" s="4" t="s">
        <v>14</v>
      </c>
      <c r="E96" s="6">
        <v>1.0</v>
      </c>
      <c r="F96" s="7">
        <v>162.67</v>
      </c>
      <c r="G96" s="7">
        <v>690.91</v>
      </c>
      <c r="H96" s="6">
        <v>10.08</v>
      </c>
      <c r="I96" s="8">
        <f t="shared" si="1"/>
        <v>621.266272</v>
      </c>
      <c r="J96" s="8">
        <f t="shared" si="2"/>
        <v>162.67</v>
      </c>
      <c r="K96" s="8">
        <f t="shared" si="3"/>
        <v>458.596272</v>
      </c>
      <c r="L96" s="9">
        <f t="shared" si="4"/>
        <v>0.7381637998</v>
      </c>
    </row>
    <row r="97" ht="22.5" customHeight="1">
      <c r="A97" s="4" t="s">
        <v>112</v>
      </c>
      <c r="B97" s="5">
        <v>45225.0</v>
      </c>
      <c r="C97" s="4" t="s">
        <v>21</v>
      </c>
      <c r="D97" s="4" t="s">
        <v>14</v>
      </c>
      <c r="E97" s="6">
        <v>49.0</v>
      </c>
      <c r="F97" s="7">
        <v>83.21</v>
      </c>
      <c r="G97" s="7">
        <v>530.47</v>
      </c>
      <c r="H97" s="6">
        <v>41.52</v>
      </c>
      <c r="I97" s="8">
        <f t="shared" si="1"/>
        <v>15200.72394</v>
      </c>
      <c r="J97" s="8">
        <f t="shared" si="2"/>
        <v>4077.29</v>
      </c>
      <c r="K97" s="8">
        <f t="shared" si="3"/>
        <v>11123.43394</v>
      </c>
      <c r="L97" s="9">
        <f t="shared" si="4"/>
        <v>0.7317700121</v>
      </c>
    </row>
    <row r="98" ht="22.5" customHeight="1">
      <c r="A98" s="4" t="s">
        <v>33</v>
      </c>
      <c r="B98" s="5">
        <v>45042.0</v>
      </c>
      <c r="C98" s="4" t="s">
        <v>16</v>
      </c>
      <c r="D98" s="4" t="s">
        <v>14</v>
      </c>
      <c r="E98" s="6">
        <v>25.0</v>
      </c>
      <c r="F98" s="7">
        <v>105.6</v>
      </c>
      <c r="G98" s="7">
        <v>540.31</v>
      </c>
      <c r="H98" s="6">
        <v>28.84</v>
      </c>
      <c r="I98" s="8">
        <f t="shared" si="1"/>
        <v>9612.1149</v>
      </c>
      <c r="J98" s="8">
        <f t="shared" si="2"/>
        <v>2640</v>
      </c>
      <c r="K98" s="8">
        <f t="shared" si="3"/>
        <v>6972.1149</v>
      </c>
      <c r="L98" s="9">
        <f t="shared" si="4"/>
        <v>0.725346604</v>
      </c>
    </row>
    <row r="99" ht="22.5" customHeight="1">
      <c r="A99" s="4" t="s">
        <v>113</v>
      </c>
      <c r="B99" s="5">
        <v>45028.0</v>
      </c>
      <c r="C99" s="4" t="s">
        <v>21</v>
      </c>
      <c r="D99" s="4" t="s">
        <v>17</v>
      </c>
      <c r="E99" s="6">
        <v>60.0</v>
      </c>
      <c r="F99" s="7">
        <v>65.09</v>
      </c>
      <c r="G99" s="7">
        <v>304.07</v>
      </c>
      <c r="H99" s="6">
        <v>22.48</v>
      </c>
      <c r="I99" s="8">
        <f t="shared" si="1"/>
        <v>14142.90384</v>
      </c>
      <c r="J99" s="8">
        <f t="shared" si="2"/>
        <v>3905.4</v>
      </c>
      <c r="K99" s="8">
        <f t="shared" si="3"/>
        <v>10237.50384</v>
      </c>
      <c r="L99" s="9">
        <f t="shared" si="4"/>
        <v>0.7238615178</v>
      </c>
    </row>
    <row r="100" ht="22.5" customHeight="1">
      <c r="A100" s="4" t="s">
        <v>114</v>
      </c>
      <c r="B100" s="5">
        <v>45208.0</v>
      </c>
      <c r="C100" s="4" t="s">
        <v>21</v>
      </c>
      <c r="D100" s="4" t="s">
        <v>17</v>
      </c>
      <c r="E100" s="6">
        <v>12.0</v>
      </c>
      <c r="F100" s="7">
        <v>44.66</v>
      </c>
      <c r="G100" s="7">
        <v>172.06</v>
      </c>
      <c r="H100" s="6">
        <v>8.69</v>
      </c>
      <c r="I100" s="8">
        <f t="shared" si="1"/>
        <v>1885.295832</v>
      </c>
      <c r="J100" s="8">
        <f t="shared" si="2"/>
        <v>535.92</v>
      </c>
      <c r="K100" s="8">
        <f t="shared" si="3"/>
        <v>1349.375832</v>
      </c>
      <c r="L100" s="9">
        <f t="shared" si="4"/>
        <v>0.71573692</v>
      </c>
    </row>
    <row r="101" ht="22.5" customHeight="1">
      <c r="A101" s="4" t="s">
        <v>115</v>
      </c>
      <c r="B101" s="5">
        <v>45095.0</v>
      </c>
      <c r="C101" s="4" t="s">
        <v>29</v>
      </c>
      <c r="D101" s="4" t="s">
        <v>22</v>
      </c>
      <c r="E101" s="6">
        <v>98.0</v>
      </c>
      <c r="F101" s="7">
        <v>225.0</v>
      </c>
      <c r="G101" s="7">
        <v>837.65</v>
      </c>
      <c r="H101" s="6">
        <v>7.13</v>
      </c>
      <c r="I101" s="8">
        <f t="shared" si="1"/>
        <v>76236.70439</v>
      </c>
      <c r="J101" s="8">
        <f t="shared" si="2"/>
        <v>22050</v>
      </c>
      <c r="K101" s="8">
        <f t="shared" si="3"/>
        <v>54186.70439</v>
      </c>
      <c r="L101" s="9">
        <f t="shared" si="4"/>
        <v>0.7107692394</v>
      </c>
    </row>
    <row r="102" ht="22.5" customHeight="1">
      <c r="A102" s="4" t="s">
        <v>116</v>
      </c>
      <c r="B102" s="5">
        <v>45259.0</v>
      </c>
      <c r="C102" s="4" t="s">
        <v>21</v>
      </c>
      <c r="D102" s="4" t="s">
        <v>19</v>
      </c>
      <c r="E102" s="6">
        <v>99.0</v>
      </c>
      <c r="F102" s="7">
        <v>191.77</v>
      </c>
      <c r="G102" s="7">
        <v>871.88</v>
      </c>
      <c r="H102" s="6">
        <v>24.31</v>
      </c>
      <c r="I102" s="8">
        <f t="shared" si="1"/>
        <v>65332.67123</v>
      </c>
      <c r="J102" s="8">
        <f t="shared" si="2"/>
        <v>18985.23</v>
      </c>
      <c r="K102" s="8">
        <f t="shared" si="3"/>
        <v>46347.44123</v>
      </c>
      <c r="L102" s="9">
        <f t="shared" si="4"/>
        <v>0.7094067999</v>
      </c>
    </row>
    <row r="103" ht="22.5" customHeight="1">
      <c r="A103" s="4" t="s">
        <v>117</v>
      </c>
      <c r="B103" s="5">
        <v>45065.0</v>
      </c>
      <c r="C103" s="4" t="s">
        <v>13</v>
      </c>
      <c r="D103" s="4" t="s">
        <v>17</v>
      </c>
      <c r="E103" s="6">
        <v>70.0</v>
      </c>
      <c r="F103" s="7">
        <v>229.57</v>
      </c>
      <c r="G103" s="7">
        <v>849.59</v>
      </c>
      <c r="H103" s="6">
        <v>9.86</v>
      </c>
      <c r="I103" s="8">
        <f t="shared" si="1"/>
        <v>53607.42982</v>
      </c>
      <c r="J103" s="8">
        <f t="shared" si="2"/>
        <v>16069.9</v>
      </c>
      <c r="K103" s="8">
        <f t="shared" si="3"/>
        <v>37537.52982</v>
      </c>
      <c r="L103" s="9">
        <f t="shared" si="4"/>
        <v>0.7002299858</v>
      </c>
    </row>
    <row r="104" ht="22.5" customHeight="1">
      <c r="A104" s="4" t="s">
        <v>118</v>
      </c>
      <c r="B104" s="5">
        <v>45082.0</v>
      </c>
      <c r="C104" s="4" t="s">
        <v>29</v>
      </c>
      <c r="D104" s="4" t="s">
        <v>17</v>
      </c>
      <c r="E104" s="6">
        <v>23.0</v>
      </c>
      <c r="F104" s="7">
        <v>157.6</v>
      </c>
      <c r="G104" s="7">
        <v>963.67</v>
      </c>
      <c r="H104" s="6">
        <v>45.8</v>
      </c>
      <c r="I104" s="8">
        <f t="shared" si="1"/>
        <v>12013.11022</v>
      </c>
      <c r="J104" s="8">
        <f t="shared" si="2"/>
        <v>3624.8</v>
      </c>
      <c r="K104" s="8">
        <f t="shared" si="3"/>
        <v>8388.31022</v>
      </c>
      <c r="L104" s="9">
        <f t="shared" si="4"/>
        <v>0.6982629866</v>
      </c>
    </row>
    <row r="105" ht="22.5" customHeight="1">
      <c r="A105" s="4" t="s">
        <v>119</v>
      </c>
      <c r="B105" s="5">
        <v>45107.0</v>
      </c>
      <c r="C105" s="4" t="s">
        <v>24</v>
      </c>
      <c r="D105" s="4" t="s">
        <v>22</v>
      </c>
      <c r="E105" s="6">
        <v>51.0</v>
      </c>
      <c r="F105" s="7">
        <v>87.55</v>
      </c>
      <c r="G105" s="7">
        <v>360.23</v>
      </c>
      <c r="H105" s="6">
        <v>20.57</v>
      </c>
      <c r="I105" s="8">
        <f t="shared" si="1"/>
        <v>14592.66514</v>
      </c>
      <c r="J105" s="8">
        <f t="shared" si="2"/>
        <v>4465.05</v>
      </c>
      <c r="K105" s="8">
        <f t="shared" si="3"/>
        <v>10127.61514</v>
      </c>
      <c r="L105" s="9">
        <f t="shared" si="4"/>
        <v>0.6940209374</v>
      </c>
    </row>
    <row r="106" ht="22.5" customHeight="1">
      <c r="A106" s="4" t="s">
        <v>120</v>
      </c>
      <c r="B106" s="5">
        <v>45265.0</v>
      </c>
      <c r="C106" s="4" t="s">
        <v>21</v>
      </c>
      <c r="D106" s="4" t="s">
        <v>17</v>
      </c>
      <c r="E106" s="6">
        <v>11.0</v>
      </c>
      <c r="F106" s="7">
        <v>169.1</v>
      </c>
      <c r="G106" s="7">
        <v>863.65</v>
      </c>
      <c r="H106" s="6">
        <v>36.38</v>
      </c>
      <c r="I106" s="8">
        <f t="shared" si="1"/>
        <v>6043.99543</v>
      </c>
      <c r="J106" s="8">
        <f t="shared" si="2"/>
        <v>1860.1</v>
      </c>
      <c r="K106" s="8">
        <f t="shared" si="3"/>
        <v>4183.89543</v>
      </c>
      <c r="L106" s="9">
        <f t="shared" si="4"/>
        <v>0.6922400055</v>
      </c>
    </row>
    <row r="107" ht="22.5" customHeight="1">
      <c r="A107" s="4" t="s">
        <v>121</v>
      </c>
      <c r="B107" s="5">
        <v>45059.0</v>
      </c>
      <c r="C107" s="4" t="s">
        <v>21</v>
      </c>
      <c r="D107" s="4" t="s">
        <v>14</v>
      </c>
      <c r="E107" s="6">
        <v>69.0</v>
      </c>
      <c r="F107" s="7">
        <v>228.92</v>
      </c>
      <c r="G107" s="7">
        <v>848.72</v>
      </c>
      <c r="H107" s="6">
        <v>12.79</v>
      </c>
      <c r="I107" s="8">
        <f t="shared" si="1"/>
        <v>51071.64113</v>
      </c>
      <c r="J107" s="8">
        <f t="shared" si="2"/>
        <v>15795.48</v>
      </c>
      <c r="K107" s="8">
        <f t="shared" si="3"/>
        <v>35276.16113</v>
      </c>
      <c r="L107" s="9">
        <f t="shared" si="4"/>
        <v>0.6907191613</v>
      </c>
    </row>
    <row r="108" ht="22.5" customHeight="1">
      <c r="A108" s="4" t="s">
        <v>122</v>
      </c>
      <c r="B108" s="5">
        <v>45155.0</v>
      </c>
      <c r="C108" s="4" t="s">
        <v>24</v>
      </c>
      <c r="D108" s="4" t="s">
        <v>14</v>
      </c>
      <c r="E108" s="6">
        <v>97.0</v>
      </c>
      <c r="F108" s="7">
        <v>198.01</v>
      </c>
      <c r="G108" s="7">
        <v>907.75</v>
      </c>
      <c r="H108" s="6">
        <v>29.97</v>
      </c>
      <c r="I108" s="8">
        <f t="shared" si="1"/>
        <v>61662.64053</v>
      </c>
      <c r="J108" s="8">
        <f t="shared" si="2"/>
        <v>19206.97</v>
      </c>
      <c r="K108" s="8">
        <f t="shared" si="3"/>
        <v>42455.67053</v>
      </c>
      <c r="L108" s="9">
        <f t="shared" si="4"/>
        <v>0.6885152852</v>
      </c>
    </row>
    <row r="109" ht="22.5" customHeight="1">
      <c r="A109" s="4" t="s">
        <v>123</v>
      </c>
      <c r="B109" s="5">
        <v>45145.0</v>
      </c>
      <c r="C109" s="4" t="s">
        <v>13</v>
      </c>
      <c r="D109" s="4" t="s">
        <v>19</v>
      </c>
      <c r="E109" s="6">
        <v>20.0</v>
      </c>
      <c r="F109" s="7">
        <v>160.8</v>
      </c>
      <c r="G109" s="7">
        <v>629.98</v>
      </c>
      <c r="H109" s="6">
        <v>18.96</v>
      </c>
      <c r="I109" s="8">
        <f t="shared" si="1"/>
        <v>10210.71584</v>
      </c>
      <c r="J109" s="8">
        <f t="shared" si="2"/>
        <v>3216</v>
      </c>
      <c r="K109" s="8">
        <f t="shared" si="3"/>
        <v>6994.71584</v>
      </c>
      <c r="L109" s="9">
        <f t="shared" si="4"/>
        <v>0.6850367741</v>
      </c>
    </row>
    <row r="110" ht="22.5" customHeight="1">
      <c r="A110" s="4" t="s">
        <v>124</v>
      </c>
      <c r="B110" s="5">
        <v>45285.0</v>
      </c>
      <c r="C110" s="4" t="s">
        <v>24</v>
      </c>
      <c r="D110" s="4" t="s">
        <v>22</v>
      </c>
      <c r="E110" s="6">
        <v>67.0</v>
      </c>
      <c r="F110" s="7">
        <v>183.96</v>
      </c>
      <c r="G110" s="7">
        <v>769.41</v>
      </c>
      <c r="H110" s="6">
        <v>26.09</v>
      </c>
      <c r="I110" s="8">
        <f t="shared" si="1"/>
        <v>38100.95238</v>
      </c>
      <c r="J110" s="8">
        <f t="shared" si="2"/>
        <v>12325.32</v>
      </c>
      <c r="K110" s="8">
        <f t="shared" si="3"/>
        <v>25775.63238</v>
      </c>
      <c r="L110" s="9">
        <f t="shared" si="4"/>
        <v>0.6765088736</v>
      </c>
    </row>
    <row r="111" ht="22.5" customHeight="1">
      <c r="A111" s="4" t="s">
        <v>125</v>
      </c>
      <c r="B111" s="5">
        <v>45141.0</v>
      </c>
      <c r="C111" s="4" t="s">
        <v>13</v>
      </c>
      <c r="D111" s="4" t="s">
        <v>14</v>
      </c>
      <c r="E111" s="6">
        <v>27.0</v>
      </c>
      <c r="F111" s="7">
        <v>158.02</v>
      </c>
      <c r="G111" s="7">
        <v>948.82</v>
      </c>
      <c r="H111" s="6">
        <v>48.66</v>
      </c>
      <c r="I111" s="8">
        <f t="shared" si="1"/>
        <v>13152.35308</v>
      </c>
      <c r="J111" s="8">
        <f t="shared" si="2"/>
        <v>4266.54</v>
      </c>
      <c r="K111" s="8">
        <f t="shared" si="3"/>
        <v>8885.813076</v>
      </c>
      <c r="L111" s="9">
        <f t="shared" si="4"/>
        <v>0.6756063363</v>
      </c>
    </row>
    <row r="112" ht="22.5" customHeight="1">
      <c r="A112" s="4" t="s">
        <v>126</v>
      </c>
      <c r="B112" s="5">
        <v>45122.0</v>
      </c>
      <c r="C112" s="4" t="s">
        <v>16</v>
      </c>
      <c r="D112" s="4" t="s">
        <v>14</v>
      </c>
      <c r="E112" s="6">
        <v>45.0</v>
      </c>
      <c r="F112" s="7">
        <v>274.66</v>
      </c>
      <c r="G112" s="7">
        <v>869.17</v>
      </c>
      <c r="H112" s="6">
        <v>2.98</v>
      </c>
      <c r="I112" s="8">
        <f t="shared" si="1"/>
        <v>37947.09303</v>
      </c>
      <c r="J112" s="8">
        <f t="shared" si="2"/>
        <v>12359.7</v>
      </c>
      <c r="K112" s="8">
        <f t="shared" si="3"/>
        <v>25587.39303</v>
      </c>
      <c r="L112" s="9">
        <f t="shared" si="4"/>
        <v>0.6742912562</v>
      </c>
    </row>
    <row r="113" ht="22.5" customHeight="1">
      <c r="A113" s="4" t="s">
        <v>83</v>
      </c>
      <c r="B113" s="5">
        <v>44942.0</v>
      </c>
      <c r="C113" s="4" t="s">
        <v>29</v>
      </c>
      <c r="D113" s="4" t="s">
        <v>17</v>
      </c>
      <c r="E113" s="6">
        <v>35.0</v>
      </c>
      <c r="F113" s="7">
        <v>73.29</v>
      </c>
      <c r="G113" s="7">
        <v>397.33</v>
      </c>
      <c r="H113" s="6">
        <v>43.91</v>
      </c>
      <c r="I113" s="8">
        <f t="shared" si="1"/>
        <v>7800.183895</v>
      </c>
      <c r="J113" s="8">
        <f t="shared" si="2"/>
        <v>2565.15</v>
      </c>
      <c r="K113" s="8">
        <f t="shared" si="3"/>
        <v>5235.033895</v>
      </c>
      <c r="L113" s="9">
        <f t="shared" si="4"/>
        <v>0.6711423686</v>
      </c>
    </row>
    <row r="114" ht="22.5" customHeight="1">
      <c r="A114" s="4" t="s">
        <v>127</v>
      </c>
      <c r="B114" s="5">
        <v>45177.0</v>
      </c>
      <c r="C114" s="4" t="s">
        <v>24</v>
      </c>
      <c r="D114" s="4" t="s">
        <v>14</v>
      </c>
      <c r="E114" s="6">
        <v>62.0</v>
      </c>
      <c r="F114" s="7">
        <v>210.52</v>
      </c>
      <c r="G114" s="7">
        <v>673.44</v>
      </c>
      <c r="H114" s="6">
        <v>6.78</v>
      </c>
      <c r="I114" s="8">
        <f t="shared" si="1"/>
        <v>38922.40762</v>
      </c>
      <c r="J114" s="8">
        <f t="shared" si="2"/>
        <v>13052.24</v>
      </c>
      <c r="K114" s="8">
        <f t="shared" si="3"/>
        <v>25870.16762</v>
      </c>
      <c r="L114" s="9">
        <f t="shared" si="4"/>
        <v>0.6646600044</v>
      </c>
    </row>
    <row r="115" ht="22.5" customHeight="1">
      <c r="A115" s="4" t="s">
        <v>128</v>
      </c>
      <c r="B115" s="5">
        <v>45096.0</v>
      </c>
      <c r="C115" s="4" t="s">
        <v>16</v>
      </c>
      <c r="D115" s="4" t="s">
        <v>17</v>
      </c>
      <c r="E115" s="6">
        <v>15.0</v>
      </c>
      <c r="F115" s="7">
        <v>286.23</v>
      </c>
      <c r="G115" s="7">
        <v>948.19</v>
      </c>
      <c r="H115" s="6">
        <v>11.06</v>
      </c>
      <c r="I115" s="8">
        <f t="shared" si="1"/>
        <v>12649.80279</v>
      </c>
      <c r="J115" s="8">
        <f t="shared" si="2"/>
        <v>4293.45</v>
      </c>
      <c r="K115" s="8">
        <f t="shared" si="3"/>
        <v>8356.35279</v>
      </c>
      <c r="L115" s="9">
        <f t="shared" si="4"/>
        <v>0.6605915467</v>
      </c>
    </row>
    <row r="116" ht="22.5" customHeight="1">
      <c r="A116" s="4" t="s">
        <v>129</v>
      </c>
      <c r="B116" s="5">
        <v>44991.0</v>
      </c>
      <c r="C116" s="4" t="s">
        <v>29</v>
      </c>
      <c r="D116" s="4" t="s">
        <v>14</v>
      </c>
      <c r="E116" s="6">
        <v>89.0</v>
      </c>
      <c r="F116" s="7">
        <v>204.13</v>
      </c>
      <c r="G116" s="7">
        <v>680.65</v>
      </c>
      <c r="H116" s="6">
        <v>11.75</v>
      </c>
      <c r="I116" s="8">
        <f t="shared" si="1"/>
        <v>53459.95263</v>
      </c>
      <c r="J116" s="8">
        <f t="shared" si="2"/>
        <v>18167.57</v>
      </c>
      <c r="K116" s="8">
        <f t="shared" si="3"/>
        <v>35292.38263</v>
      </c>
      <c r="L116" s="9">
        <f t="shared" si="4"/>
        <v>0.6601648691</v>
      </c>
    </row>
    <row r="117" ht="22.5" customHeight="1">
      <c r="A117" s="4" t="s">
        <v>130</v>
      </c>
      <c r="B117" s="5">
        <v>45008.0</v>
      </c>
      <c r="C117" s="4" t="s">
        <v>13</v>
      </c>
      <c r="D117" s="4" t="s">
        <v>19</v>
      </c>
      <c r="E117" s="6">
        <v>73.0</v>
      </c>
      <c r="F117" s="7">
        <v>201.22</v>
      </c>
      <c r="G117" s="7">
        <v>779.0</v>
      </c>
      <c r="H117" s="6">
        <v>24.14</v>
      </c>
      <c r="I117" s="8">
        <f t="shared" si="1"/>
        <v>43139.3062</v>
      </c>
      <c r="J117" s="8">
        <f t="shared" si="2"/>
        <v>14689.06</v>
      </c>
      <c r="K117" s="8">
        <f t="shared" si="3"/>
        <v>28450.2462</v>
      </c>
      <c r="L117" s="9">
        <f t="shared" si="4"/>
        <v>0.6594970737</v>
      </c>
    </row>
    <row r="118" ht="22.5" customHeight="1">
      <c r="A118" s="4" t="s">
        <v>131</v>
      </c>
      <c r="B118" s="5">
        <v>45055.0</v>
      </c>
      <c r="C118" s="4" t="s">
        <v>24</v>
      </c>
      <c r="D118" s="4" t="s">
        <v>22</v>
      </c>
      <c r="E118" s="6">
        <v>93.0</v>
      </c>
      <c r="F118" s="7">
        <v>80.69</v>
      </c>
      <c r="G118" s="7">
        <v>347.46</v>
      </c>
      <c r="H118" s="6">
        <v>33.54</v>
      </c>
      <c r="I118" s="8">
        <f t="shared" si="1"/>
        <v>21475.73819</v>
      </c>
      <c r="J118" s="8">
        <f t="shared" si="2"/>
        <v>7504.17</v>
      </c>
      <c r="K118" s="8">
        <f t="shared" si="3"/>
        <v>13971.56819</v>
      </c>
      <c r="L118" s="9">
        <f t="shared" si="4"/>
        <v>0.6505745258</v>
      </c>
    </row>
    <row r="119" ht="22.5" customHeight="1">
      <c r="A119" s="4" t="s">
        <v>132</v>
      </c>
      <c r="B119" s="5">
        <v>45167.0</v>
      </c>
      <c r="C119" s="4" t="s">
        <v>29</v>
      </c>
      <c r="D119" s="4" t="s">
        <v>17</v>
      </c>
      <c r="E119" s="6">
        <v>25.0</v>
      </c>
      <c r="F119" s="7">
        <v>205.59</v>
      </c>
      <c r="G119" s="7">
        <v>621.7</v>
      </c>
      <c r="H119" s="6">
        <v>5.64</v>
      </c>
      <c r="I119" s="8">
        <f t="shared" si="1"/>
        <v>14665.903</v>
      </c>
      <c r="J119" s="8">
        <f t="shared" si="2"/>
        <v>5139.75</v>
      </c>
      <c r="K119" s="8">
        <f t="shared" si="3"/>
        <v>9526.153</v>
      </c>
      <c r="L119" s="9">
        <f t="shared" si="4"/>
        <v>0.6495442524</v>
      </c>
    </row>
    <row r="120" ht="22.5" customHeight="1">
      <c r="A120" s="4" t="s">
        <v>133</v>
      </c>
      <c r="B120" s="5">
        <v>45268.0</v>
      </c>
      <c r="C120" s="4" t="s">
        <v>24</v>
      </c>
      <c r="D120" s="4" t="s">
        <v>19</v>
      </c>
      <c r="E120" s="6">
        <v>89.0</v>
      </c>
      <c r="F120" s="7">
        <v>107.69</v>
      </c>
      <c r="G120" s="7">
        <v>421.91</v>
      </c>
      <c r="H120" s="6">
        <v>27.35</v>
      </c>
      <c r="I120" s="8">
        <f t="shared" si="1"/>
        <v>27280.06774</v>
      </c>
      <c r="J120" s="8">
        <f t="shared" si="2"/>
        <v>9584.41</v>
      </c>
      <c r="K120" s="8">
        <f t="shared" si="3"/>
        <v>17695.65774</v>
      </c>
      <c r="L120" s="9">
        <f t="shared" si="4"/>
        <v>0.6486661949</v>
      </c>
    </row>
    <row r="121" ht="22.5" customHeight="1">
      <c r="A121" s="4" t="s">
        <v>134</v>
      </c>
      <c r="B121" s="5">
        <v>45167.0</v>
      </c>
      <c r="C121" s="4" t="s">
        <v>13</v>
      </c>
      <c r="D121" s="4" t="s">
        <v>22</v>
      </c>
      <c r="E121" s="6">
        <v>35.0</v>
      </c>
      <c r="F121" s="7">
        <v>93.53</v>
      </c>
      <c r="G121" s="7">
        <v>337.05</v>
      </c>
      <c r="H121" s="6">
        <v>21.75</v>
      </c>
      <c r="I121" s="8">
        <f t="shared" si="1"/>
        <v>9230.956875</v>
      </c>
      <c r="J121" s="8">
        <f t="shared" si="2"/>
        <v>3273.55</v>
      </c>
      <c r="K121" s="8">
        <f t="shared" si="3"/>
        <v>5957.406875</v>
      </c>
      <c r="L121" s="9">
        <f t="shared" si="4"/>
        <v>0.6453726256</v>
      </c>
    </row>
    <row r="122" ht="22.5" customHeight="1">
      <c r="A122" s="4" t="s">
        <v>135</v>
      </c>
      <c r="B122" s="5">
        <v>45145.0</v>
      </c>
      <c r="C122" s="4" t="s">
        <v>13</v>
      </c>
      <c r="D122" s="4" t="s">
        <v>14</v>
      </c>
      <c r="E122" s="6">
        <v>32.0</v>
      </c>
      <c r="F122" s="7">
        <v>130.2</v>
      </c>
      <c r="G122" s="7">
        <v>434.22</v>
      </c>
      <c r="H122" s="6">
        <v>16.21</v>
      </c>
      <c r="I122" s="8">
        <f t="shared" si="1"/>
        <v>11642.65402</v>
      </c>
      <c r="J122" s="8">
        <f t="shared" si="2"/>
        <v>4166.4</v>
      </c>
      <c r="K122" s="8">
        <f t="shared" si="3"/>
        <v>7476.254016</v>
      </c>
      <c r="L122" s="9">
        <f t="shared" si="4"/>
        <v>0.6421434499</v>
      </c>
    </row>
    <row r="123" ht="22.5" customHeight="1">
      <c r="A123" s="4" t="s">
        <v>136</v>
      </c>
      <c r="B123" s="5">
        <v>44967.0</v>
      </c>
      <c r="C123" s="4" t="s">
        <v>21</v>
      </c>
      <c r="D123" s="4" t="s">
        <v>19</v>
      </c>
      <c r="E123" s="6">
        <v>77.0</v>
      </c>
      <c r="F123" s="7">
        <v>50.66</v>
      </c>
      <c r="G123" s="7">
        <v>185.35</v>
      </c>
      <c r="H123" s="6">
        <v>24.99</v>
      </c>
      <c r="I123" s="8">
        <f t="shared" si="1"/>
        <v>10705.3897</v>
      </c>
      <c r="J123" s="8">
        <f t="shared" si="2"/>
        <v>3900.82</v>
      </c>
      <c r="K123" s="8">
        <f t="shared" si="3"/>
        <v>6804.569695</v>
      </c>
      <c r="L123" s="9">
        <f t="shared" si="4"/>
        <v>0.6356209245</v>
      </c>
    </row>
    <row r="124" ht="22.5" customHeight="1">
      <c r="A124" s="4" t="s">
        <v>137</v>
      </c>
      <c r="B124" s="5">
        <v>45008.0</v>
      </c>
      <c r="C124" s="4" t="s">
        <v>16</v>
      </c>
      <c r="D124" s="4" t="s">
        <v>17</v>
      </c>
      <c r="E124" s="6">
        <v>71.0</v>
      </c>
      <c r="F124" s="7">
        <v>294.19</v>
      </c>
      <c r="G124" s="7">
        <v>907.68</v>
      </c>
      <c r="H124" s="6">
        <v>11.2</v>
      </c>
      <c r="I124" s="8">
        <f t="shared" si="1"/>
        <v>57227.40864</v>
      </c>
      <c r="J124" s="8">
        <f t="shared" si="2"/>
        <v>20887.49</v>
      </c>
      <c r="K124" s="8">
        <f t="shared" si="3"/>
        <v>36339.91864</v>
      </c>
      <c r="L124" s="9">
        <f t="shared" si="4"/>
        <v>0.6350089844</v>
      </c>
    </row>
    <row r="125" ht="22.5" customHeight="1">
      <c r="A125" s="4" t="s">
        <v>116</v>
      </c>
      <c r="B125" s="5">
        <v>45124.0</v>
      </c>
      <c r="C125" s="4" t="s">
        <v>21</v>
      </c>
      <c r="D125" s="4" t="s">
        <v>14</v>
      </c>
      <c r="E125" s="6">
        <v>55.0</v>
      </c>
      <c r="F125" s="7">
        <v>69.66</v>
      </c>
      <c r="G125" s="7">
        <v>259.11</v>
      </c>
      <c r="H125" s="6">
        <v>26.84</v>
      </c>
      <c r="I125" s="8">
        <f t="shared" si="1"/>
        <v>10426.06818</v>
      </c>
      <c r="J125" s="8">
        <f t="shared" si="2"/>
        <v>3831.3</v>
      </c>
      <c r="K125" s="8">
        <f t="shared" si="3"/>
        <v>6594.76818</v>
      </c>
      <c r="L125" s="9">
        <f t="shared" si="4"/>
        <v>0.6325268611</v>
      </c>
    </row>
    <row r="126" ht="22.5" customHeight="1">
      <c r="A126" s="4" t="s">
        <v>138</v>
      </c>
      <c r="B126" s="5">
        <v>45030.0</v>
      </c>
      <c r="C126" s="4" t="s">
        <v>24</v>
      </c>
      <c r="D126" s="4" t="s">
        <v>22</v>
      </c>
      <c r="E126" s="6">
        <v>91.0</v>
      </c>
      <c r="F126" s="7">
        <v>330.88</v>
      </c>
      <c r="G126" s="7">
        <v>975.98</v>
      </c>
      <c r="H126" s="6">
        <v>8.22</v>
      </c>
      <c r="I126" s="8">
        <f t="shared" si="1"/>
        <v>81513.6544</v>
      </c>
      <c r="J126" s="8">
        <f t="shared" si="2"/>
        <v>30110.08</v>
      </c>
      <c r="K126" s="8">
        <f t="shared" si="3"/>
        <v>51403.5744</v>
      </c>
      <c r="L126" s="9">
        <f t="shared" si="4"/>
        <v>0.6306130523</v>
      </c>
    </row>
    <row r="127" ht="22.5" customHeight="1">
      <c r="A127" s="4" t="s">
        <v>139</v>
      </c>
      <c r="B127" s="5">
        <v>44947.0</v>
      </c>
      <c r="C127" s="4" t="s">
        <v>13</v>
      </c>
      <c r="D127" s="4" t="s">
        <v>17</v>
      </c>
      <c r="E127" s="6">
        <v>5.0</v>
      </c>
      <c r="F127" s="7">
        <v>56.46</v>
      </c>
      <c r="G127" s="7">
        <v>190.02</v>
      </c>
      <c r="H127" s="6">
        <v>19.67</v>
      </c>
      <c r="I127" s="8">
        <f t="shared" si="1"/>
        <v>763.21533</v>
      </c>
      <c r="J127" s="8">
        <f t="shared" si="2"/>
        <v>282.3</v>
      </c>
      <c r="K127" s="8">
        <f t="shared" si="3"/>
        <v>480.91533</v>
      </c>
      <c r="L127" s="9">
        <f t="shared" si="4"/>
        <v>0.6301174925</v>
      </c>
    </row>
    <row r="128" ht="22.5" customHeight="1">
      <c r="A128" s="4" t="s">
        <v>140</v>
      </c>
      <c r="B128" s="5">
        <v>45089.0</v>
      </c>
      <c r="C128" s="4" t="s">
        <v>29</v>
      </c>
      <c r="D128" s="4" t="s">
        <v>19</v>
      </c>
      <c r="E128" s="6">
        <v>53.0</v>
      </c>
      <c r="F128" s="7">
        <v>92.77</v>
      </c>
      <c r="G128" s="7">
        <v>316.89</v>
      </c>
      <c r="H128" s="6">
        <v>21.09</v>
      </c>
      <c r="I128" s="8">
        <f t="shared" si="1"/>
        <v>13253.06865</v>
      </c>
      <c r="J128" s="8">
        <f t="shared" si="2"/>
        <v>4916.81</v>
      </c>
      <c r="K128" s="8">
        <f t="shared" si="3"/>
        <v>8336.258647</v>
      </c>
      <c r="L128" s="9">
        <f t="shared" si="4"/>
        <v>0.6290059207</v>
      </c>
    </row>
    <row r="129" ht="22.5" customHeight="1">
      <c r="A129" s="4" t="s">
        <v>50</v>
      </c>
      <c r="B129" s="5">
        <v>45075.0</v>
      </c>
      <c r="C129" s="4" t="s">
        <v>29</v>
      </c>
      <c r="D129" s="4" t="s">
        <v>17</v>
      </c>
      <c r="E129" s="6">
        <v>21.0</v>
      </c>
      <c r="F129" s="7">
        <v>288.45</v>
      </c>
      <c r="G129" s="7">
        <v>815.82</v>
      </c>
      <c r="H129" s="6">
        <v>5.33</v>
      </c>
      <c r="I129" s="8">
        <f t="shared" si="1"/>
        <v>16219.07267</v>
      </c>
      <c r="J129" s="8">
        <f t="shared" si="2"/>
        <v>6057.45</v>
      </c>
      <c r="K129" s="8">
        <f t="shared" si="3"/>
        <v>10161.62267</v>
      </c>
      <c r="L129" s="9">
        <f t="shared" si="4"/>
        <v>0.6265230373</v>
      </c>
    </row>
    <row r="130" ht="22.5" customHeight="1">
      <c r="A130" s="4" t="s">
        <v>136</v>
      </c>
      <c r="B130" s="5">
        <v>44962.0</v>
      </c>
      <c r="C130" s="4" t="s">
        <v>29</v>
      </c>
      <c r="D130" s="4" t="s">
        <v>17</v>
      </c>
      <c r="E130" s="6">
        <v>84.0</v>
      </c>
      <c r="F130" s="7">
        <v>252.42</v>
      </c>
      <c r="G130" s="7">
        <v>703.35</v>
      </c>
      <c r="H130" s="6">
        <v>4.0</v>
      </c>
      <c r="I130" s="8">
        <f t="shared" si="1"/>
        <v>56718.144</v>
      </c>
      <c r="J130" s="8">
        <f t="shared" si="2"/>
        <v>21203.28</v>
      </c>
      <c r="K130" s="8">
        <f t="shared" si="3"/>
        <v>35514.864</v>
      </c>
      <c r="L130" s="9">
        <f t="shared" si="4"/>
        <v>0.6261640719</v>
      </c>
    </row>
    <row r="131" ht="22.5" customHeight="1">
      <c r="A131" s="4" t="s">
        <v>141</v>
      </c>
      <c r="B131" s="5">
        <v>44985.0</v>
      </c>
      <c r="C131" s="4" t="s">
        <v>29</v>
      </c>
      <c r="D131" s="4" t="s">
        <v>17</v>
      </c>
      <c r="E131" s="6">
        <v>77.0</v>
      </c>
      <c r="F131" s="7">
        <v>209.3</v>
      </c>
      <c r="G131" s="7">
        <v>965.64</v>
      </c>
      <c r="H131" s="6">
        <v>42.58</v>
      </c>
      <c r="I131" s="8">
        <f t="shared" si="1"/>
        <v>42694.22758</v>
      </c>
      <c r="J131" s="8">
        <f t="shared" si="2"/>
        <v>16116.1</v>
      </c>
      <c r="K131" s="8">
        <f t="shared" si="3"/>
        <v>26578.12758</v>
      </c>
      <c r="L131" s="9">
        <f t="shared" si="4"/>
        <v>0.622522741</v>
      </c>
    </row>
    <row r="132" ht="22.5" customHeight="1">
      <c r="A132" s="4" t="s">
        <v>142</v>
      </c>
      <c r="B132" s="5">
        <v>45035.0</v>
      </c>
      <c r="C132" s="4" t="s">
        <v>13</v>
      </c>
      <c r="D132" s="4" t="s">
        <v>17</v>
      </c>
      <c r="E132" s="6">
        <v>62.0</v>
      </c>
      <c r="F132" s="7">
        <v>91.08</v>
      </c>
      <c r="G132" s="7">
        <v>374.12</v>
      </c>
      <c r="H132" s="6">
        <v>35.53</v>
      </c>
      <c r="I132" s="8">
        <f t="shared" si="1"/>
        <v>14954.10017</v>
      </c>
      <c r="J132" s="8">
        <f t="shared" si="2"/>
        <v>5646.96</v>
      </c>
      <c r="K132" s="8">
        <f t="shared" si="3"/>
        <v>9307.140168</v>
      </c>
      <c r="L132" s="9">
        <f t="shared" si="4"/>
        <v>0.6223804885</v>
      </c>
    </row>
    <row r="133" ht="22.5" customHeight="1">
      <c r="A133" s="4" t="s">
        <v>55</v>
      </c>
      <c r="B133" s="5">
        <v>45021.0</v>
      </c>
      <c r="C133" s="4" t="s">
        <v>16</v>
      </c>
      <c r="D133" s="4" t="s">
        <v>19</v>
      </c>
      <c r="E133" s="6">
        <v>62.0</v>
      </c>
      <c r="F133" s="7">
        <v>328.26</v>
      </c>
      <c r="G133" s="7">
        <v>897.39</v>
      </c>
      <c r="H133" s="6">
        <v>5.05</v>
      </c>
      <c r="I133" s="8">
        <f t="shared" si="1"/>
        <v>52828.45191</v>
      </c>
      <c r="J133" s="8">
        <f t="shared" si="2"/>
        <v>20352.12</v>
      </c>
      <c r="K133" s="8">
        <f t="shared" si="3"/>
        <v>32476.33191</v>
      </c>
      <c r="L133" s="9">
        <f t="shared" si="4"/>
        <v>0.614750778</v>
      </c>
    </row>
    <row r="134" ht="22.5" customHeight="1">
      <c r="A134" s="4" t="s">
        <v>26</v>
      </c>
      <c r="B134" s="5">
        <v>45003.0</v>
      </c>
      <c r="C134" s="4" t="s">
        <v>21</v>
      </c>
      <c r="D134" s="4" t="s">
        <v>22</v>
      </c>
      <c r="E134" s="6">
        <v>73.0</v>
      </c>
      <c r="F134" s="7">
        <v>179.12</v>
      </c>
      <c r="G134" s="7">
        <v>854.33</v>
      </c>
      <c r="H134" s="6">
        <v>46.15</v>
      </c>
      <c r="I134" s="8">
        <f t="shared" si="1"/>
        <v>33584.13947</v>
      </c>
      <c r="J134" s="8">
        <f t="shared" si="2"/>
        <v>13075.76</v>
      </c>
      <c r="K134" s="8">
        <f t="shared" si="3"/>
        <v>20508.37947</v>
      </c>
      <c r="L134" s="9">
        <f t="shared" si="4"/>
        <v>0.6106566907</v>
      </c>
    </row>
    <row r="135" ht="22.5" customHeight="1">
      <c r="A135" s="4" t="s">
        <v>143</v>
      </c>
      <c r="B135" s="5">
        <v>45070.0</v>
      </c>
      <c r="C135" s="4" t="s">
        <v>29</v>
      </c>
      <c r="D135" s="4" t="s">
        <v>22</v>
      </c>
      <c r="E135" s="6">
        <v>28.0</v>
      </c>
      <c r="F135" s="7">
        <v>196.55</v>
      </c>
      <c r="G135" s="7">
        <v>776.76</v>
      </c>
      <c r="H135" s="6">
        <v>35.47</v>
      </c>
      <c r="I135" s="8">
        <f t="shared" si="1"/>
        <v>14034.81038</v>
      </c>
      <c r="J135" s="8">
        <f t="shared" si="2"/>
        <v>5503.4</v>
      </c>
      <c r="K135" s="8">
        <f t="shared" si="3"/>
        <v>8531.410384</v>
      </c>
      <c r="L135" s="9">
        <f t="shared" si="4"/>
        <v>0.6078750016</v>
      </c>
    </row>
    <row r="136" ht="22.5" customHeight="1">
      <c r="A136" s="4" t="s">
        <v>144</v>
      </c>
      <c r="B136" s="5">
        <v>45005.0</v>
      </c>
      <c r="C136" s="4" t="s">
        <v>16</v>
      </c>
      <c r="D136" s="4" t="s">
        <v>22</v>
      </c>
      <c r="E136" s="6">
        <v>40.0</v>
      </c>
      <c r="F136" s="7">
        <v>134.87</v>
      </c>
      <c r="G136" s="7">
        <v>350.62</v>
      </c>
      <c r="H136" s="6">
        <v>3.2</v>
      </c>
      <c r="I136" s="8">
        <f t="shared" si="1"/>
        <v>13576.0064</v>
      </c>
      <c r="J136" s="8">
        <f t="shared" si="2"/>
        <v>5394.8</v>
      </c>
      <c r="K136" s="8">
        <f t="shared" si="3"/>
        <v>8181.2064</v>
      </c>
      <c r="L136" s="9">
        <f t="shared" si="4"/>
        <v>0.6026224619</v>
      </c>
    </row>
    <row r="137" ht="22.5" customHeight="1">
      <c r="A137" s="4" t="s">
        <v>145</v>
      </c>
      <c r="B137" s="5">
        <v>45169.0</v>
      </c>
      <c r="C137" s="4" t="s">
        <v>13</v>
      </c>
      <c r="D137" s="4" t="s">
        <v>22</v>
      </c>
      <c r="E137" s="6">
        <v>81.0</v>
      </c>
      <c r="F137" s="7">
        <v>225.27</v>
      </c>
      <c r="G137" s="7">
        <v>668.3</v>
      </c>
      <c r="H137" s="6">
        <v>15.36</v>
      </c>
      <c r="I137" s="8">
        <f t="shared" si="1"/>
        <v>45817.57872</v>
      </c>
      <c r="J137" s="8">
        <f t="shared" si="2"/>
        <v>18246.87</v>
      </c>
      <c r="K137" s="8">
        <f t="shared" si="3"/>
        <v>27570.70872</v>
      </c>
      <c r="L137" s="9">
        <f t="shared" si="4"/>
        <v>0.6017495793</v>
      </c>
    </row>
    <row r="138" ht="22.5" customHeight="1">
      <c r="A138" s="4" t="s">
        <v>146</v>
      </c>
      <c r="B138" s="5">
        <v>45091.0</v>
      </c>
      <c r="C138" s="4" t="s">
        <v>29</v>
      </c>
      <c r="D138" s="4" t="s">
        <v>17</v>
      </c>
      <c r="E138" s="6">
        <v>75.0</v>
      </c>
      <c r="F138" s="7">
        <v>311.63</v>
      </c>
      <c r="G138" s="7">
        <v>801.06</v>
      </c>
      <c r="H138" s="6">
        <v>2.97</v>
      </c>
      <c r="I138" s="8">
        <f t="shared" si="1"/>
        <v>58295.13885</v>
      </c>
      <c r="J138" s="8">
        <f t="shared" si="2"/>
        <v>23372.25</v>
      </c>
      <c r="K138" s="8">
        <f t="shared" si="3"/>
        <v>34922.88885</v>
      </c>
      <c r="L138" s="9">
        <f t="shared" si="4"/>
        <v>0.5990703434</v>
      </c>
    </row>
    <row r="139" ht="22.5" customHeight="1">
      <c r="A139" s="4" t="s">
        <v>147</v>
      </c>
      <c r="B139" s="5">
        <v>44981.0</v>
      </c>
      <c r="C139" s="4" t="s">
        <v>21</v>
      </c>
      <c r="D139" s="4" t="s">
        <v>19</v>
      </c>
      <c r="E139" s="6">
        <v>97.0</v>
      </c>
      <c r="F139" s="7">
        <v>275.26</v>
      </c>
      <c r="G139" s="7">
        <v>943.27</v>
      </c>
      <c r="H139" s="6">
        <v>28.02</v>
      </c>
      <c r="I139" s="8">
        <f t="shared" si="1"/>
        <v>65859.67736</v>
      </c>
      <c r="J139" s="8">
        <f t="shared" si="2"/>
        <v>26700.22</v>
      </c>
      <c r="K139" s="8">
        <f t="shared" si="3"/>
        <v>39159.45736</v>
      </c>
      <c r="L139" s="9">
        <f t="shared" si="4"/>
        <v>0.5945892681</v>
      </c>
    </row>
    <row r="140" ht="22.5" customHeight="1">
      <c r="A140" s="4" t="s">
        <v>148</v>
      </c>
      <c r="B140" s="5">
        <v>45284.0</v>
      </c>
      <c r="C140" s="4" t="s">
        <v>29</v>
      </c>
      <c r="D140" s="4" t="s">
        <v>22</v>
      </c>
      <c r="E140" s="6">
        <v>23.0</v>
      </c>
      <c r="F140" s="7">
        <v>191.97</v>
      </c>
      <c r="G140" s="7">
        <v>526.23</v>
      </c>
      <c r="H140" s="6">
        <v>10.04</v>
      </c>
      <c r="I140" s="8">
        <f t="shared" si="1"/>
        <v>10888.11968</v>
      </c>
      <c r="J140" s="8">
        <f t="shared" si="2"/>
        <v>4415.31</v>
      </c>
      <c r="K140" s="8">
        <f t="shared" si="3"/>
        <v>6472.809684</v>
      </c>
      <c r="L140" s="9">
        <f t="shared" si="4"/>
        <v>0.5944837008</v>
      </c>
    </row>
    <row r="141" ht="22.5" customHeight="1">
      <c r="A141" s="4" t="s">
        <v>149</v>
      </c>
      <c r="B141" s="5">
        <v>45225.0</v>
      </c>
      <c r="C141" s="4" t="s">
        <v>21</v>
      </c>
      <c r="D141" s="4" t="s">
        <v>19</v>
      </c>
      <c r="E141" s="6">
        <v>51.0</v>
      </c>
      <c r="F141" s="7">
        <v>124.49</v>
      </c>
      <c r="G141" s="7">
        <v>586.24</v>
      </c>
      <c r="H141" s="6">
        <v>47.72</v>
      </c>
      <c r="I141" s="8">
        <f t="shared" si="1"/>
        <v>15630.79987</v>
      </c>
      <c r="J141" s="8">
        <f t="shared" si="2"/>
        <v>6348.99</v>
      </c>
      <c r="K141" s="8">
        <f t="shared" si="3"/>
        <v>9281.809872</v>
      </c>
      <c r="L141" s="9">
        <f t="shared" si="4"/>
        <v>0.5938154124</v>
      </c>
    </row>
    <row r="142" ht="22.5" customHeight="1">
      <c r="A142" s="4" t="s">
        <v>150</v>
      </c>
      <c r="B142" s="5">
        <v>45203.0</v>
      </c>
      <c r="C142" s="4" t="s">
        <v>21</v>
      </c>
      <c r="D142" s="4" t="s">
        <v>14</v>
      </c>
      <c r="E142" s="6">
        <v>94.0</v>
      </c>
      <c r="F142" s="7">
        <v>211.61</v>
      </c>
      <c r="G142" s="7">
        <v>961.97</v>
      </c>
      <c r="H142" s="6">
        <v>45.95</v>
      </c>
      <c r="I142" s="8">
        <f t="shared" si="1"/>
        <v>48874.80979</v>
      </c>
      <c r="J142" s="8">
        <f t="shared" si="2"/>
        <v>19891.34</v>
      </c>
      <c r="K142" s="8">
        <f t="shared" si="3"/>
        <v>28983.46979</v>
      </c>
      <c r="L142" s="9">
        <f t="shared" si="4"/>
        <v>0.5930144775</v>
      </c>
    </row>
    <row r="143" ht="22.5" customHeight="1">
      <c r="A143" s="4" t="s">
        <v>151</v>
      </c>
      <c r="B143" s="5">
        <v>45016.0</v>
      </c>
      <c r="C143" s="4" t="s">
        <v>16</v>
      </c>
      <c r="D143" s="4" t="s">
        <v>22</v>
      </c>
      <c r="E143" s="6">
        <v>75.0</v>
      </c>
      <c r="F143" s="7">
        <v>274.18</v>
      </c>
      <c r="G143" s="7">
        <v>818.54</v>
      </c>
      <c r="H143" s="6">
        <v>18.14</v>
      </c>
      <c r="I143" s="8">
        <f t="shared" si="1"/>
        <v>50254.2633</v>
      </c>
      <c r="J143" s="8">
        <f t="shared" si="2"/>
        <v>20563.5</v>
      </c>
      <c r="K143" s="8">
        <f t="shared" si="3"/>
        <v>29690.7633</v>
      </c>
      <c r="L143" s="9">
        <f t="shared" si="4"/>
        <v>0.5908108357</v>
      </c>
    </row>
    <row r="144" ht="22.5" customHeight="1">
      <c r="A144" s="4" t="s">
        <v>152</v>
      </c>
      <c r="B144" s="5">
        <v>45158.0</v>
      </c>
      <c r="C144" s="4" t="s">
        <v>13</v>
      </c>
      <c r="D144" s="4" t="s">
        <v>17</v>
      </c>
      <c r="E144" s="6">
        <v>48.0</v>
      </c>
      <c r="F144" s="7">
        <v>330.98</v>
      </c>
      <c r="G144" s="7">
        <v>821.7</v>
      </c>
      <c r="H144" s="6">
        <v>1.8</v>
      </c>
      <c r="I144" s="8">
        <f t="shared" si="1"/>
        <v>38731.6512</v>
      </c>
      <c r="J144" s="8">
        <f t="shared" si="2"/>
        <v>15887.04</v>
      </c>
      <c r="K144" s="8">
        <f t="shared" si="3"/>
        <v>22844.6112</v>
      </c>
      <c r="L144" s="9">
        <f t="shared" si="4"/>
        <v>0.5898176425</v>
      </c>
    </row>
    <row r="145" ht="22.5" customHeight="1">
      <c r="A145" s="4" t="s">
        <v>153</v>
      </c>
      <c r="B145" s="5">
        <v>45048.0</v>
      </c>
      <c r="C145" s="4" t="s">
        <v>29</v>
      </c>
      <c r="D145" s="4" t="s">
        <v>17</v>
      </c>
      <c r="E145" s="6">
        <v>48.0</v>
      </c>
      <c r="F145" s="7">
        <v>101.96</v>
      </c>
      <c r="G145" s="7">
        <v>258.4</v>
      </c>
      <c r="H145" s="6">
        <v>3.87</v>
      </c>
      <c r="I145" s="8">
        <f t="shared" si="1"/>
        <v>11923.19616</v>
      </c>
      <c r="J145" s="8">
        <f t="shared" si="2"/>
        <v>4894.08</v>
      </c>
      <c r="K145" s="8">
        <f t="shared" si="3"/>
        <v>7029.11616</v>
      </c>
      <c r="L145" s="9">
        <f t="shared" si="4"/>
        <v>0.5895328791</v>
      </c>
    </row>
    <row r="146" ht="22.5" customHeight="1">
      <c r="A146" s="4" t="s">
        <v>154</v>
      </c>
      <c r="B146" s="5">
        <v>44962.0</v>
      </c>
      <c r="C146" s="4" t="s">
        <v>13</v>
      </c>
      <c r="D146" s="4" t="s">
        <v>17</v>
      </c>
      <c r="E146" s="6">
        <v>46.0</v>
      </c>
      <c r="F146" s="7">
        <v>53.64</v>
      </c>
      <c r="G146" s="7">
        <v>170.08</v>
      </c>
      <c r="H146" s="6">
        <v>23.45</v>
      </c>
      <c r="I146" s="8">
        <f t="shared" si="1"/>
        <v>5989.02704</v>
      </c>
      <c r="J146" s="8">
        <f t="shared" si="2"/>
        <v>2467.44</v>
      </c>
      <c r="K146" s="8">
        <f t="shared" si="3"/>
        <v>3521.58704</v>
      </c>
      <c r="L146" s="9">
        <f t="shared" si="4"/>
        <v>0.5880065354</v>
      </c>
    </row>
    <row r="147" ht="22.5" customHeight="1">
      <c r="A147" s="4" t="s">
        <v>62</v>
      </c>
      <c r="B147" s="5">
        <v>45158.0</v>
      </c>
      <c r="C147" s="4" t="s">
        <v>21</v>
      </c>
      <c r="D147" s="4" t="s">
        <v>14</v>
      </c>
      <c r="E147" s="6">
        <v>38.0</v>
      </c>
      <c r="F147" s="7">
        <v>238.61</v>
      </c>
      <c r="G147" s="7">
        <v>738.79</v>
      </c>
      <c r="H147" s="6">
        <v>22.02</v>
      </c>
      <c r="I147" s="8">
        <f t="shared" si="1"/>
        <v>21892.1208</v>
      </c>
      <c r="J147" s="8">
        <f t="shared" si="2"/>
        <v>9067.18</v>
      </c>
      <c r="K147" s="8">
        <f t="shared" si="3"/>
        <v>12824.9408</v>
      </c>
      <c r="L147" s="9">
        <f t="shared" si="4"/>
        <v>0.5858245035</v>
      </c>
    </row>
    <row r="148" ht="22.5" customHeight="1">
      <c r="A148" s="4" t="s">
        <v>155</v>
      </c>
      <c r="B148" s="5">
        <v>45205.0</v>
      </c>
      <c r="C148" s="4" t="s">
        <v>16</v>
      </c>
      <c r="D148" s="4" t="s">
        <v>19</v>
      </c>
      <c r="E148" s="6">
        <v>78.0</v>
      </c>
      <c r="F148" s="7">
        <v>371.43</v>
      </c>
      <c r="G148" s="7">
        <v>979.73</v>
      </c>
      <c r="H148" s="6">
        <v>8.55</v>
      </c>
      <c r="I148" s="8">
        <f t="shared" si="1"/>
        <v>69885.12063</v>
      </c>
      <c r="J148" s="8">
        <f t="shared" si="2"/>
        <v>28971.54</v>
      </c>
      <c r="K148" s="8">
        <f t="shared" si="3"/>
        <v>40913.58063</v>
      </c>
      <c r="L148" s="9">
        <f t="shared" si="4"/>
        <v>0.5854405095</v>
      </c>
    </row>
    <row r="149" ht="22.5" customHeight="1">
      <c r="A149" s="4" t="s">
        <v>156</v>
      </c>
      <c r="B149" s="5">
        <v>44942.0</v>
      </c>
      <c r="C149" s="4" t="s">
        <v>13</v>
      </c>
      <c r="D149" s="4" t="s">
        <v>22</v>
      </c>
      <c r="E149" s="6">
        <v>79.0</v>
      </c>
      <c r="F149" s="7">
        <v>175.02</v>
      </c>
      <c r="G149" s="7">
        <v>630.3</v>
      </c>
      <c r="H149" s="6">
        <v>33.88</v>
      </c>
      <c r="I149" s="8">
        <f t="shared" si="1"/>
        <v>32923.59444</v>
      </c>
      <c r="J149" s="8">
        <f t="shared" si="2"/>
        <v>13826.58</v>
      </c>
      <c r="K149" s="8">
        <f t="shared" si="3"/>
        <v>19097.01444</v>
      </c>
      <c r="L149" s="9">
        <f t="shared" si="4"/>
        <v>0.5800403864</v>
      </c>
    </row>
    <row r="150" ht="22.5" customHeight="1">
      <c r="A150" s="4" t="s">
        <v>157</v>
      </c>
      <c r="B150" s="5">
        <v>44928.0</v>
      </c>
      <c r="C150" s="4" t="s">
        <v>29</v>
      </c>
      <c r="D150" s="4" t="s">
        <v>17</v>
      </c>
      <c r="E150" s="6">
        <v>55.0</v>
      </c>
      <c r="F150" s="7">
        <v>266.7</v>
      </c>
      <c r="G150" s="7">
        <v>749.53</v>
      </c>
      <c r="H150" s="6">
        <v>15.64</v>
      </c>
      <c r="I150" s="8">
        <f t="shared" si="1"/>
        <v>34776.69294</v>
      </c>
      <c r="J150" s="8">
        <f t="shared" si="2"/>
        <v>14668.5</v>
      </c>
      <c r="K150" s="8">
        <f t="shared" si="3"/>
        <v>20108.19294</v>
      </c>
      <c r="L150" s="9">
        <f t="shared" si="4"/>
        <v>0.5782088876</v>
      </c>
    </row>
    <row r="151" ht="22.5" customHeight="1">
      <c r="A151" s="4" t="s">
        <v>158</v>
      </c>
      <c r="B151" s="5">
        <v>45188.0</v>
      </c>
      <c r="C151" s="4" t="s">
        <v>16</v>
      </c>
      <c r="D151" s="4" t="s">
        <v>22</v>
      </c>
      <c r="E151" s="6">
        <v>29.0</v>
      </c>
      <c r="F151" s="7">
        <v>75.04</v>
      </c>
      <c r="G151" s="7">
        <v>324.0</v>
      </c>
      <c r="H151" s="6">
        <v>45.28</v>
      </c>
      <c r="I151" s="8">
        <f t="shared" si="1"/>
        <v>5141.4912</v>
      </c>
      <c r="J151" s="8">
        <f t="shared" si="2"/>
        <v>2176.16</v>
      </c>
      <c r="K151" s="8">
        <f t="shared" si="3"/>
        <v>2965.3312</v>
      </c>
      <c r="L151" s="9">
        <f t="shared" si="4"/>
        <v>0.5767453613</v>
      </c>
    </row>
    <row r="152" ht="22.5" customHeight="1">
      <c r="A152" s="4" t="s">
        <v>25</v>
      </c>
      <c r="B152" s="5">
        <v>45246.0</v>
      </c>
      <c r="C152" s="4" t="s">
        <v>16</v>
      </c>
      <c r="D152" s="4" t="s">
        <v>22</v>
      </c>
      <c r="E152" s="6">
        <v>37.0</v>
      </c>
      <c r="F152" s="7">
        <v>285.51</v>
      </c>
      <c r="G152" s="7">
        <v>831.3</v>
      </c>
      <c r="H152" s="6">
        <v>19.47</v>
      </c>
      <c r="I152" s="8">
        <f t="shared" si="1"/>
        <v>24769.49793</v>
      </c>
      <c r="J152" s="8">
        <f t="shared" si="2"/>
        <v>10563.87</v>
      </c>
      <c r="K152" s="8">
        <f t="shared" si="3"/>
        <v>14205.62793</v>
      </c>
      <c r="L152" s="9">
        <f t="shared" si="4"/>
        <v>0.5735129541</v>
      </c>
    </row>
    <row r="153" ht="22.5" customHeight="1">
      <c r="A153" s="4" t="s">
        <v>159</v>
      </c>
      <c r="B153" s="5">
        <v>44944.0</v>
      </c>
      <c r="C153" s="4" t="s">
        <v>13</v>
      </c>
      <c r="D153" s="4" t="s">
        <v>19</v>
      </c>
      <c r="E153" s="6">
        <v>28.0</v>
      </c>
      <c r="F153" s="7">
        <v>216.1</v>
      </c>
      <c r="G153" s="7">
        <v>536.37</v>
      </c>
      <c r="H153" s="6">
        <v>5.96</v>
      </c>
      <c r="I153" s="8">
        <f t="shared" si="1"/>
        <v>14123.26574</v>
      </c>
      <c r="J153" s="8">
        <f t="shared" si="2"/>
        <v>6050.8</v>
      </c>
      <c r="K153" s="8">
        <f t="shared" si="3"/>
        <v>8072.465744</v>
      </c>
      <c r="L153" s="9">
        <f t="shared" si="4"/>
        <v>0.5715721767</v>
      </c>
    </row>
    <row r="154" ht="22.5" customHeight="1">
      <c r="A154" s="4" t="s">
        <v>160</v>
      </c>
      <c r="B154" s="5">
        <v>44982.0</v>
      </c>
      <c r="C154" s="4" t="s">
        <v>16</v>
      </c>
      <c r="D154" s="4" t="s">
        <v>17</v>
      </c>
      <c r="E154" s="6">
        <v>23.0</v>
      </c>
      <c r="F154" s="7">
        <v>262.15</v>
      </c>
      <c r="G154" s="7">
        <v>937.92</v>
      </c>
      <c r="H154" s="6">
        <v>35.28</v>
      </c>
      <c r="I154" s="8">
        <f t="shared" si="1"/>
        <v>13961.50195</v>
      </c>
      <c r="J154" s="8">
        <f t="shared" si="2"/>
        <v>6029.45</v>
      </c>
      <c r="K154" s="8">
        <f t="shared" si="3"/>
        <v>7932.051952</v>
      </c>
      <c r="L154" s="9">
        <f t="shared" si="4"/>
        <v>0.5681374382</v>
      </c>
    </row>
    <row r="155" ht="22.5" customHeight="1">
      <c r="A155" s="4" t="s">
        <v>161</v>
      </c>
      <c r="B155" s="5">
        <v>45168.0</v>
      </c>
      <c r="C155" s="4" t="s">
        <v>13</v>
      </c>
      <c r="D155" s="4" t="s">
        <v>19</v>
      </c>
      <c r="E155" s="6">
        <v>41.0</v>
      </c>
      <c r="F155" s="7">
        <v>258.75</v>
      </c>
      <c r="G155" s="7">
        <v>611.85</v>
      </c>
      <c r="H155" s="6">
        <v>2.24</v>
      </c>
      <c r="I155" s="8">
        <f t="shared" si="1"/>
        <v>24523.92696</v>
      </c>
      <c r="J155" s="8">
        <f t="shared" si="2"/>
        <v>10608.75</v>
      </c>
      <c r="K155" s="8">
        <f t="shared" si="3"/>
        <v>13915.17696</v>
      </c>
      <c r="L155" s="9">
        <f t="shared" si="4"/>
        <v>0.5674122657</v>
      </c>
    </row>
    <row r="156" ht="22.5" customHeight="1">
      <c r="A156" s="4" t="s">
        <v>162</v>
      </c>
      <c r="B156" s="5">
        <v>44974.0</v>
      </c>
      <c r="C156" s="4" t="s">
        <v>16</v>
      </c>
      <c r="D156" s="4" t="s">
        <v>14</v>
      </c>
      <c r="E156" s="6">
        <v>29.0</v>
      </c>
      <c r="F156" s="7">
        <v>251.71</v>
      </c>
      <c r="G156" s="7">
        <v>812.0</v>
      </c>
      <c r="H156" s="6">
        <v>28.74</v>
      </c>
      <c r="I156" s="8">
        <f t="shared" si="1"/>
        <v>16780.3048</v>
      </c>
      <c r="J156" s="8">
        <f t="shared" si="2"/>
        <v>7299.59</v>
      </c>
      <c r="K156" s="8">
        <f t="shared" si="3"/>
        <v>9480.7148</v>
      </c>
      <c r="L156" s="9">
        <f t="shared" si="4"/>
        <v>0.5649906192</v>
      </c>
    </row>
    <row r="157" ht="22.5" customHeight="1">
      <c r="A157" s="4" t="s">
        <v>163</v>
      </c>
      <c r="B157" s="5">
        <v>45198.0</v>
      </c>
      <c r="C157" s="4" t="s">
        <v>29</v>
      </c>
      <c r="D157" s="4" t="s">
        <v>19</v>
      </c>
      <c r="E157" s="6">
        <v>36.0</v>
      </c>
      <c r="F157" s="7">
        <v>169.83</v>
      </c>
      <c r="G157" s="7">
        <v>742.64</v>
      </c>
      <c r="H157" s="6">
        <v>47.46</v>
      </c>
      <c r="I157" s="8">
        <f t="shared" si="1"/>
        <v>14046.59002</v>
      </c>
      <c r="J157" s="8">
        <f t="shared" si="2"/>
        <v>6113.88</v>
      </c>
      <c r="K157" s="8">
        <f t="shared" si="3"/>
        <v>7932.710016</v>
      </c>
      <c r="L157" s="9">
        <f t="shared" si="4"/>
        <v>0.5647427601</v>
      </c>
    </row>
    <row r="158" ht="22.5" customHeight="1">
      <c r="A158" s="4" t="s">
        <v>164</v>
      </c>
      <c r="B158" s="5">
        <v>45236.0</v>
      </c>
      <c r="C158" s="4" t="s">
        <v>16</v>
      </c>
      <c r="D158" s="4" t="s">
        <v>22</v>
      </c>
      <c r="E158" s="6">
        <v>14.0</v>
      </c>
      <c r="F158" s="7">
        <v>295.31</v>
      </c>
      <c r="G158" s="7">
        <v>942.4</v>
      </c>
      <c r="H158" s="6">
        <v>29.22</v>
      </c>
      <c r="I158" s="8">
        <f t="shared" si="1"/>
        <v>9338.43008</v>
      </c>
      <c r="J158" s="8">
        <f t="shared" si="2"/>
        <v>4134.34</v>
      </c>
      <c r="K158" s="8">
        <f t="shared" si="3"/>
        <v>5204.09008</v>
      </c>
      <c r="L158" s="9">
        <f t="shared" si="4"/>
        <v>0.5572767623</v>
      </c>
    </row>
    <row r="159" ht="22.5" customHeight="1">
      <c r="A159" s="4" t="s">
        <v>143</v>
      </c>
      <c r="B159" s="5">
        <v>45203.0</v>
      </c>
      <c r="C159" s="4" t="s">
        <v>13</v>
      </c>
      <c r="D159" s="4" t="s">
        <v>22</v>
      </c>
      <c r="E159" s="6">
        <v>56.0</v>
      </c>
      <c r="F159" s="7">
        <v>223.22</v>
      </c>
      <c r="G159" s="7">
        <v>915.37</v>
      </c>
      <c r="H159" s="6">
        <v>45.02</v>
      </c>
      <c r="I159" s="8">
        <f t="shared" si="1"/>
        <v>28183.14386</v>
      </c>
      <c r="J159" s="8">
        <f t="shared" si="2"/>
        <v>12500.32</v>
      </c>
      <c r="K159" s="8">
        <f t="shared" si="3"/>
        <v>15682.82386</v>
      </c>
      <c r="L159" s="9">
        <f t="shared" si="4"/>
        <v>0.5564611222</v>
      </c>
    </row>
    <row r="160" ht="22.5" customHeight="1">
      <c r="A160" s="4" t="s">
        <v>40</v>
      </c>
      <c r="B160" s="5">
        <v>45231.0</v>
      </c>
      <c r="C160" s="4" t="s">
        <v>24</v>
      </c>
      <c r="D160" s="4" t="s">
        <v>22</v>
      </c>
      <c r="E160" s="6">
        <v>67.0</v>
      </c>
      <c r="F160" s="7">
        <v>334.67</v>
      </c>
      <c r="G160" s="7">
        <v>943.11</v>
      </c>
      <c r="H160" s="6">
        <v>20.54</v>
      </c>
      <c r="I160" s="8">
        <f t="shared" si="1"/>
        <v>50209.4788</v>
      </c>
      <c r="J160" s="8">
        <f t="shared" si="2"/>
        <v>22422.89</v>
      </c>
      <c r="K160" s="8">
        <f t="shared" si="3"/>
        <v>27786.5888</v>
      </c>
      <c r="L160" s="9">
        <f t="shared" si="4"/>
        <v>0.5534132093</v>
      </c>
    </row>
    <row r="161" ht="22.5" customHeight="1">
      <c r="A161" s="4" t="s">
        <v>165</v>
      </c>
      <c r="B161" s="5">
        <v>45155.0</v>
      </c>
      <c r="C161" s="4" t="s">
        <v>29</v>
      </c>
      <c r="D161" s="4" t="s">
        <v>17</v>
      </c>
      <c r="E161" s="6">
        <v>16.0</v>
      </c>
      <c r="F161" s="7">
        <v>103.73</v>
      </c>
      <c r="G161" s="7">
        <v>423.16</v>
      </c>
      <c r="H161" s="6">
        <v>45.7</v>
      </c>
      <c r="I161" s="8">
        <f t="shared" si="1"/>
        <v>3676.41408</v>
      </c>
      <c r="J161" s="8">
        <f t="shared" si="2"/>
        <v>1659.68</v>
      </c>
      <c r="K161" s="8">
        <f t="shared" si="3"/>
        <v>2016.73408</v>
      </c>
      <c r="L161" s="9">
        <f t="shared" si="4"/>
        <v>0.5485601013</v>
      </c>
    </row>
    <row r="162" ht="22.5" customHeight="1">
      <c r="A162" s="4" t="s">
        <v>166</v>
      </c>
      <c r="B162" s="5">
        <v>45159.0</v>
      </c>
      <c r="C162" s="4" t="s">
        <v>13</v>
      </c>
      <c r="D162" s="4" t="s">
        <v>14</v>
      </c>
      <c r="E162" s="6">
        <v>99.0</v>
      </c>
      <c r="F162" s="7">
        <v>323.63</v>
      </c>
      <c r="G162" s="7">
        <v>736.79</v>
      </c>
      <c r="H162" s="6">
        <v>4.21</v>
      </c>
      <c r="I162" s="8">
        <f t="shared" si="1"/>
        <v>69871.34296</v>
      </c>
      <c r="J162" s="8">
        <f t="shared" si="2"/>
        <v>32039.37</v>
      </c>
      <c r="K162" s="8">
        <f t="shared" si="3"/>
        <v>37831.97296</v>
      </c>
      <c r="L162" s="9">
        <f t="shared" si="4"/>
        <v>0.5414519223</v>
      </c>
    </row>
    <row r="163" ht="22.5" customHeight="1">
      <c r="A163" s="4" t="s">
        <v>167</v>
      </c>
      <c r="B163" s="5">
        <v>45100.0</v>
      </c>
      <c r="C163" s="4" t="s">
        <v>21</v>
      </c>
      <c r="D163" s="4" t="s">
        <v>22</v>
      </c>
      <c r="E163" s="6">
        <v>94.0</v>
      </c>
      <c r="F163" s="7">
        <v>357.1</v>
      </c>
      <c r="G163" s="7">
        <v>868.55</v>
      </c>
      <c r="H163" s="6">
        <v>10.9</v>
      </c>
      <c r="I163" s="8">
        <f t="shared" si="1"/>
        <v>72744.5367</v>
      </c>
      <c r="J163" s="8">
        <f t="shared" si="2"/>
        <v>33567.4</v>
      </c>
      <c r="K163" s="8">
        <f t="shared" si="3"/>
        <v>39177.1367</v>
      </c>
      <c r="L163" s="9">
        <f t="shared" si="4"/>
        <v>0.538557787</v>
      </c>
    </row>
    <row r="164" ht="22.5" customHeight="1">
      <c r="A164" s="4" t="s">
        <v>168</v>
      </c>
      <c r="B164" s="5">
        <v>45168.0</v>
      </c>
      <c r="C164" s="4" t="s">
        <v>21</v>
      </c>
      <c r="D164" s="4" t="s">
        <v>17</v>
      </c>
      <c r="E164" s="6">
        <v>62.0</v>
      </c>
      <c r="F164" s="7">
        <v>211.47</v>
      </c>
      <c r="G164" s="7">
        <v>610.47</v>
      </c>
      <c r="H164" s="6">
        <v>24.93</v>
      </c>
      <c r="I164" s="8">
        <f t="shared" si="1"/>
        <v>28413.3494</v>
      </c>
      <c r="J164" s="8">
        <f t="shared" si="2"/>
        <v>13111.14</v>
      </c>
      <c r="K164" s="8">
        <f t="shared" si="3"/>
        <v>15302.2094</v>
      </c>
      <c r="L164" s="9">
        <f t="shared" si="4"/>
        <v>0.5385570418</v>
      </c>
    </row>
    <row r="165" ht="22.5" customHeight="1">
      <c r="A165" s="4" t="s">
        <v>119</v>
      </c>
      <c r="B165" s="5">
        <v>44936.0</v>
      </c>
      <c r="C165" s="4" t="s">
        <v>24</v>
      </c>
      <c r="D165" s="4" t="s">
        <v>19</v>
      </c>
      <c r="E165" s="6">
        <v>9.0</v>
      </c>
      <c r="F165" s="7">
        <v>312.08</v>
      </c>
      <c r="G165" s="7">
        <v>982.05</v>
      </c>
      <c r="H165" s="6">
        <v>31.17</v>
      </c>
      <c r="I165" s="8">
        <f t="shared" si="1"/>
        <v>6083.505135</v>
      </c>
      <c r="J165" s="8">
        <f t="shared" si="2"/>
        <v>2808.72</v>
      </c>
      <c r="K165" s="8">
        <f t="shared" si="3"/>
        <v>3274.785135</v>
      </c>
      <c r="L165" s="9">
        <f t="shared" si="4"/>
        <v>0.5383056416</v>
      </c>
    </row>
    <row r="166" ht="22.5" customHeight="1">
      <c r="A166" s="4" t="s">
        <v>18</v>
      </c>
      <c r="B166" s="5">
        <v>45257.0</v>
      </c>
      <c r="C166" s="4" t="s">
        <v>13</v>
      </c>
      <c r="D166" s="4" t="s">
        <v>14</v>
      </c>
      <c r="E166" s="6">
        <v>49.0</v>
      </c>
      <c r="F166" s="7">
        <v>350.66</v>
      </c>
      <c r="G166" s="7">
        <v>922.31</v>
      </c>
      <c r="H166" s="6">
        <v>18.03</v>
      </c>
      <c r="I166" s="8">
        <f t="shared" si="1"/>
        <v>37044.85784</v>
      </c>
      <c r="J166" s="8">
        <f t="shared" si="2"/>
        <v>17182.34</v>
      </c>
      <c r="K166" s="8">
        <f t="shared" si="3"/>
        <v>19862.51784</v>
      </c>
      <c r="L166" s="9">
        <f t="shared" si="4"/>
        <v>0.5361747622</v>
      </c>
    </row>
    <row r="167" ht="22.5" customHeight="1">
      <c r="A167" s="4" t="s">
        <v>169</v>
      </c>
      <c r="B167" s="5">
        <v>45096.0</v>
      </c>
      <c r="C167" s="4" t="s">
        <v>29</v>
      </c>
      <c r="D167" s="4" t="s">
        <v>14</v>
      </c>
      <c r="E167" s="6">
        <v>67.0</v>
      </c>
      <c r="F167" s="7">
        <v>231.01</v>
      </c>
      <c r="G167" s="7">
        <v>501.78</v>
      </c>
      <c r="H167" s="6">
        <v>1.02</v>
      </c>
      <c r="I167" s="8">
        <f t="shared" si="1"/>
        <v>33276.34355</v>
      </c>
      <c r="J167" s="8">
        <f t="shared" si="2"/>
        <v>15477.67</v>
      </c>
      <c r="K167" s="8">
        <f t="shared" si="3"/>
        <v>17798.67355</v>
      </c>
      <c r="L167" s="9">
        <f t="shared" si="4"/>
        <v>0.5348746782</v>
      </c>
    </row>
    <row r="168" ht="22.5" customHeight="1">
      <c r="A168" s="4" t="s">
        <v>170</v>
      </c>
      <c r="B168" s="5">
        <v>44942.0</v>
      </c>
      <c r="C168" s="4" t="s">
        <v>16</v>
      </c>
      <c r="D168" s="4" t="s">
        <v>14</v>
      </c>
      <c r="E168" s="6">
        <v>80.0</v>
      </c>
      <c r="F168" s="7">
        <v>233.46</v>
      </c>
      <c r="G168" s="7">
        <v>511.36</v>
      </c>
      <c r="H168" s="6">
        <v>2.34</v>
      </c>
      <c r="I168" s="8">
        <f t="shared" si="1"/>
        <v>39951.53408</v>
      </c>
      <c r="J168" s="8">
        <f t="shared" si="2"/>
        <v>18676.8</v>
      </c>
      <c r="K168" s="8">
        <f t="shared" si="3"/>
        <v>21274.73408</v>
      </c>
      <c r="L168" s="9">
        <f t="shared" si="4"/>
        <v>0.532513571</v>
      </c>
    </row>
    <row r="169" ht="22.5" customHeight="1">
      <c r="A169" s="4" t="s">
        <v>171</v>
      </c>
      <c r="B169" s="5">
        <v>45184.0</v>
      </c>
      <c r="C169" s="4" t="s">
        <v>16</v>
      </c>
      <c r="D169" s="4" t="s">
        <v>22</v>
      </c>
      <c r="E169" s="6">
        <v>40.0</v>
      </c>
      <c r="F169" s="7">
        <v>251.79</v>
      </c>
      <c r="G169" s="7">
        <v>993.47</v>
      </c>
      <c r="H169" s="6">
        <v>46.49</v>
      </c>
      <c r="I169" s="8">
        <f t="shared" si="1"/>
        <v>21264.23188</v>
      </c>
      <c r="J169" s="8">
        <f t="shared" si="2"/>
        <v>10071.6</v>
      </c>
      <c r="K169" s="8">
        <f t="shared" si="3"/>
        <v>11192.63188</v>
      </c>
      <c r="L169" s="9">
        <f t="shared" si="4"/>
        <v>0.5263595668</v>
      </c>
    </row>
    <row r="170" ht="22.5" customHeight="1">
      <c r="A170" s="4" t="s">
        <v>172</v>
      </c>
      <c r="B170" s="5">
        <v>45106.0</v>
      </c>
      <c r="C170" s="4" t="s">
        <v>24</v>
      </c>
      <c r="D170" s="4" t="s">
        <v>19</v>
      </c>
      <c r="E170" s="6">
        <v>14.0</v>
      </c>
      <c r="F170" s="7">
        <v>357.25</v>
      </c>
      <c r="G170" s="7">
        <v>961.57</v>
      </c>
      <c r="H170" s="6">
        <v>21.66</v>
      </c>
      <c r="I170" s="8">
        <f t="shared" si="1"/>
        <v>10546.11513</v>
      </c>
      <c r="J170" s="8">
        <f t="shared" si="2"/>
        <v>5001.5</v>
      </c>
      <c r="K170" s="8">
        <f t="shared" si="3"/>
        <v>5544.615132</v>
      </c>
      <c r="L170" s="9">
        <f t="shared" si="4"/>
        <v>0.5257495355</v>
      </c>
    </row>
    <row r="171" ht="22.5" customHeight="1">
      <c r="A171" s="4" t="s">
        <v>173</v>
      </c>
      <c r="B171" s="5">
        <v>45104.0</v>
      </c>
      <c r="C171" s="4" t="s">
        <v>29</v>
      </c>
      <c r="D171" s="4" t="s">
        <v>19</v>
      </c>
      <c r="E171" s="6">
        <v>4.0</v>
      </c>
      <c r="F171" s="7">
        <v>326.89</v>
      </c>
      <c r="G171" s="7">
        <v>737.35</v>
      </c>
      <c r="H171" s="6">
        <v>6.56</v>
      </c>
      <c r="I171" s="8">
        <f t="shared" si="1"/>
        <v>2755.91936</v>
      </c>
      <c r="J171" s="8">
        <f t="shared" si="2"/>
        <v>1307.56</v>
      </c>
      <c r="K171" s="8">
        <f t="shared" si="3"/>
        <v>1448.35936</v>
      </c>
      <c r="L171" s="9">
        <f t="shared" si="4"/>
        <v>0.5255448984</v>
      </c>
    </row>
    <row r="172" ht="22.5" customHeight="1">
      <c r="A172" s="4" t="s">
        <v>174</v>
      </c>
      <c r="B172" s="5">
        <v>45103.0</v>
      </c>
      <c r="C172" s="4" t="s">
        <v>16</v>
      </c>
      <c r="D172" s="4" t="s">
        <v>17</v>
      </c>
      <c r="E172" s="6">
        <v>69.0</v>
      </c>
      <c r="F172" s="7">
        <v>377.4</v>
      </c>
      <c r="G172" s="7">
        <v>986.74</v>
      </c>
      <c r="H172" s="6">
        <v>20.63</v>
      </c>
      <c r="I172" s="8">
        <f t="shared" si="1"/>
        <v>54039.11212</v>
      </c>
      <c r="J172" s="8">
        <f t="shared" si="2"/>
        <v>26040.6</v>
      </c>
      <c r="K172" s="8">
        <f t="shared" si="3"/>
        <v>27998.51212</v>
      </c>
      <c r="L172" s="9">
        <f t="shared" si="4"/>
        <v>0.5181156948</v>
      </c>
    </row>
    <row r="173" ht="22.5" customHeight="1">
      <c r="A173" s="4" t="s">
        <v>138</v>
      </c>
      <c r="B173" s="5">
        <v>45281.0</v>
      </c>
      <c r="C173" s="4" t="s">
        <v>24</v>
      </c>
      <c r="D173" s="4" t="s">
        <v>22</v>
      </c>
      <c r="E173" s="6">
        <v>1.0</v>
      </c>
      <c r="F173" s="7">
        <v>184.55</v>
      </c>
      <c r="G173" s="7">
        <v>487.89</v>
      </c>
      <c r="H173" s="6">
        <v>21.86</v>
      </c>
      <c r="I173" s="8">
        <f t="shared" si="1"/>
        <v>381.237246</v>
      </c>
      <c r="J173" s="8">
        <f t="shared" si="2"/>
        <v>184.55</v>
      </c>
      <c r="K173" s="8">
        <f t="shared" si="3"/>
        <v>196.687246</v>
      </c>
      <c r="L173" s="9">
        <f t="shared" si="4"/>
        <v>0.5159182322</v>
      </c>
    </row>
    <row r="174" ht="22.5" customHeight="1">
      <c r="A174" s="4" t="s">
        <v>175</v>
      </c>
      <c r="B174" s="5">
        <v>45196.0</v>
      </c>
      <c r="C174" s="4" t="s">
        <v>24</v>
      </c>
      <c r="D174" s="4" t="s">
        <v>17</v>
      </c>
      <c r="E174" s="6">
        <v>85.0</v>
      </c>
      <c r="F174" s="7">
        <v>414.54</v>
      </c>
      <c r="G174" s="7">
        <v>858.5</v>
      </c>
      <c r="H174" s="6">
        <v>0.73</v>
      </c>
      <c r="I174" s="8">
        <f t="shared" si="1"/>
        <v>72439.80075</v>
      </c>
      <c r="J174" s="8">
        <f t="shared" si="2"/>
        <v>35235.9</v>
      </c>
      <c r="K174" s="8">
        <f t="shared" si="3"/>
        <v>37203.90075</v>
      </c>
      <c r="L174" s="9">
        <f t="shared" si="4"/>
        <v>0.513583698</v>
      </c>
    </row>
    <row r="175" ht="22.5" customHeight="1">
      <c r="A175" s="4" t="s">
        <v>176</v>
      </c>
      <c r="B175" s="5">
        <v>45135.0</v>
      </c>
      <c r="C175" s="4" t="s">
        <v>16</v>
      </c>
      <c r="D175" s="4" t="s">
        <v>17</v>
      </c>
      <c r="E175" s="6">
        <v>97.0</v>
      </c>
      <c r="F175" s="7">
        <v>268.51</v>
      </c>
      <c r="G175" s="7">
        <v>806.65</v>
      </c>
      <c r="H175" s="6">
        <v>32.37</v>
      </c>
      <c r="I175" s="8">
        <f t="shared" si="1"/>
        <v>52917.12732</v>
      </c>
      <c r="J175" s="8">
        <f t="shared" si="2"/>
        <v>26045.47</v>
      </c>
      <c r="K175" s="8">
        <f t="shared" si="3"/>
        <v>26871.65732</v>
      </c>
      <c r="L175" s="9">
        <f t="shared" si="4"/>
        <v>0.5078064264</v>
      </c>
    </row>
    <row r="176" ht="22.5" customHeight="1">
      <c r="A176" s="4" t="s">
        <v>177</v>
      </c>
      <c r="B176" s="5">
        <v>44927.0</v>
      </c>
      <c r="C176" s="4" t="s">
        <v>16</v>
      </c>
      <c r="D176" s="4" t="s">
        <v>22</v>
      </c>
      <c r="E176" s="6">
        <v>4.0</v>
      </c>
      <c r="F176" s="7">
        <v>234.62</v>
      </c>
      <c r="G176" s="7">
        <v>662.62</v>
      </c>
      <c r="H176" s="6">
        <v>28.53</v>
      </c>
      <c r="I176" s="8">
        <f t="shared" si="1"/>
        <v>1894.298056</v>
      </c>
      <c r="J176" s="8">
        <f t="shared" si="2"/>
        <v>938.48</v>
      </c>
      <c r="K176" s="8">
        <f t="shared" si="3"/>
        <v>955.818056</v>
      </c>
      <c r="L176" s="9">
        <f t="shared" si="4"/>
        <v>0.5045763801</v>
      </c>
    </row>
    <row r="177" ht="22.5" customHeight="1">
      <c r="A177" s="4" t="s">
        <v>178</v>
      </c>
      <c r="B177" s="5">
        <v>45016.0</v>
      </c>
      <c r="C177" s="4" t="s">
        <v>13</v>
      </c>
      <c r="D177" s="4" t="s">
        <v>17</v>
      </c>
      <c r="E177" s="6">
        <v>21.0</v>
      </c>
      <c r="F177" s="7">
        <v>238.2</v>
      </c>
      <c r="G177" s="7">
        <v>840.3</v>
      </c>
      <c r="H177" s="6">
        <v>43.29</v>
      </c>
      <c r="I177" s="8">
        <f t="shared" si="1"/>
        <v>10007.21673</v>
      </c>
      <c r="J177" s="8">
        <f t="shared" si="2"/>
        <v>5002.2</v>
      </c>
      <c r="K177" s="8">
        <f t="shared" si="3"/>
        <v>5005.01673</v>
      </c>
      <c r="L177" s="9">
        <f t="shared" si="4"/>
        <v>0.5001407349</v>
      </c>
    </row>
    <row r="178" ht="22.5" customHeight="1">
      <c r="A178" s="4" t="s">
        <v>179</v>
      </c>
      <c r="B178" s="5">
        <v>45154.0</v>
      </c>
      <c r="C178" s="4" t="s">
        <v>29</v>
      </c>
      <c r="D178" s="4" t="s">
        <v>17</v>
      </c>
      <c r="E178" s="6">
        <v>79.0</v>
      </c>
      <c r="F178" s="7">
        <v>192.3</v>
      </c>
      <c r="G178" s="7">
        <v>679.49</v>
      </c>
      <c r="H178" s="6">
        <v>44.15</v>
      </c>
      <c r="I178" s="8">
        <f t="shared" si="1"/>
        <v>29980.11804</v>
      </c>
      <c r="J178" s="8">
        <f t="shared" si="2"/>
        <v>15191.7</v>
      </c>
      <c r="K178" s="8">
        <f t="shared" si="3"/>
        <v>14788.41804</v>
      </c>
      <c r="L178" s="9">
        <f t="shared" si="4"/>
        <v>0.4932741765</v>
      </c>
    </row>
    <row r="179" ht="22.5" customHeight="1">
      <c r="A179" s="4" t="s">
        <v>120</v>
      </c>
      <c r="B179" s="5">
        <v>45235.0</v>
      </c>
      <c r="C179" s="4" t="s">
        <v>16</v>
      </c>
      <c r="D179" s="4" t="s">
        <v>22</v>
      </c>
      <c r="E179" s="6">
        <v>9.0</v>
      </c>
      <c r="F179" s="7">
        <v>267.1</v>
      </c>
      <c r="G179" s="7">
        <v>819.03</v>
      </c>
      <c r="H179" s="6">
        <v>35.76</v>
      </c>
      <c r="I179" s="8">
        <f t="shared" si="1"/>
        <v>4735.303848</v>
      </c>
      <c r="J179" s="8">
        <f t="shared" si="2"/>
        <v>2403.9</v>
      </c>
      <c r="K179" s="8">
        <f t="shared" si="3"/>
        <v>2331.403848</v>
      </c>
      <c r="L179" s="9">
        <f t="shared" si="4"/>
        <v>0.4923451425</v>
      </c>
    </row>
    <row r="180" ht="22.5" customHeight="1">
      <c r="A180" s="4" t="s">
        <v>180</v>
      </c>
      <c r="B180" s="5">
        <v>45027.0</v>
      </c>
      <c r="C180" s="4" t="s">
        <v>24</v>
      </c>
      <c r="D180" s="4" t="s">
        <v>19</v>
      </c>
      <c r="E180" s="6">
        <v>58.0</v>
      </c>
      <c r="F180" s="7">
        <v>355.67</v>
      </c>
      <c r="G180" s="7">
        <v>847.38</v>
      </c>
      <c r="H180" s="6">
        <v>17.97</v>
      </c>
      <c r="I180" s="8">
        <f t="shared" si="1"/>
        <v>40316.13721</v>
      </c>
      <c r="J180" s="8">
        <f t="shared" si="2"/>
        <v>20628.86</v>
      </c>
      <c r="K180" s="8">
        <f t="shared" si="3"/>
        <v>19687.27721</v>
      </c>
      <c r="L180" s="9">
        <f t="shared" si="4"/>
        <v>0.4883225074</v>
      </c>
    </row>
    <row r="181" ht="22.5" customHeight="1">
      <c r="A181" s="4" t="s">
        <v>164</v>
      </c>
      <c r="B181" s="5">
        <v>45242.0</v>
      </c>
      <c r="C181" s="4" t="s">
        <v>13</v>
      </c>
      <c r="D181" s="4" t="s">
        <v>19</v>
      </c>
      <c r="E181" s="6">
        <v>61.0</v>
      </c>
      <c r="F181" s="7">
        <v>461.2</v>
      </c>
      <c r="G181" s="7">
        <v>900.86</v>
      </c>
      <c r="H181" s="6">
        <v>0.22</v>
      </c>
      <c r="I181" s="8">
        <f t="shared" si="1"/>
        <v>54831.56459</v>
      </c>
      <c r="J181" s="8">
        <f t="shared" si="2"/>
        <v>28133.2</v>
      </c>
      <c r="K181" s="8">
        <f t="shared" si="3"/>
        <v>26698.36459</v>
      </c>
      <c r="L181" s="9">
        <f t="shared" si="4"/>
        <v>0.4869159724</v>
      </c>
    </row>
    <row r="182" ht="22.5" customHeight="1">
      <c r="A182" s="4" t="s">
        <v>181</v>
      </c>
      <c r="B182" s="5">
        <v>45203.0</v>
      </c>
      <c r="C182" s="4" t="s">
        <v>16</v>
      </c>
      <c r="D182" s="4" t="s">
        <v>22</v>
      </c>
      <c r="E182" s="6">
        <v>38.0</v>
      </c>
      <c r="F182" s="7">
        <v>158.35</v>
      </c>
      <c r="G182" s="7">
        <v>473.4</v>
      </c>
      <c r="H182" s="6">
        <v>35.24</v>
      </c>
      <c r="I182" s="8">
        <f t="shared" si="1"/>
        <v>11649.80592</v>
      </c>
      <c r="J182" s="8">
        <f t="shared" si="2"/>
        <v>6017.3</v>
      </c>
      <c r="K182" s="8">
        <f t="shared" si="3"/>
        <v>5632.50592</v>
      </c>
      <c r="L182" s="9">
        <f t="shared" si="4"/>
        <v>0.4834849575</v>
      </c>
    </row>
    <row r="183" ht="22.5" customHeight="1">
      <c r="A183" s="4" t="s">
        <v>182</v>
      </c>
      <c r="B183" s="5">
        <v>45082.0</v>
      </c>
      <c r="C183" s="4" t="s">
        <v>16</v>
      </c>
      <c r="D183" s="4" t="s">
        <v>14</v>
      </c>
      <c r="E183" s="6">
        <v>12.0</v>
      </c>
      <c r="F183" s="7">
        <v>427.11</v>
      </c>
      <c r="G183" s="7">
        <v>903.14</v>
      </c>
      <c r="H183" s="6">
        <v>9.57</v>
      </c>
      <c r="I183" s="8">
        <f t="shared" si="1"/>
        <v>9800.514024</v>
      </c>
      <c r="J183" s="8">
        <f t="shared" si="2"/>
        <v>5125.32</v>
      </c>
      <c r="K183" s="8">
        <f t="shared" si="3"/>
        <v>4675.194024</v>
      </c>
      <c r="L183" s="9">
        <f t="shared" si="4"/>
        <v>0.4770355935</v>
      </c>
    </row>
    <row r="184" ht="22.5" customHeight="1">
      <c r="A184" s="4" t="s">
        <v>183</v>
      </c>
      <c r="B184" s="5">
        <v>45208.0</v>
      </c>
      <c r="C184" s="4" t="s">
        <v>13</v>
      </c>
      <c r="D184" s="4" t="s">
        <v>14</v>
      </c>
      <c r="E184" s="6">
        <v>24.0</v>
      </c>
      <c r="F184" s="7">
        <v>75.89</v>
      </c>
      <c r="G184" s="7">
        <v>248.47</v>
      </c>
      <c r="H184" s="6">
        <v>42.06</v>
      </c>
      <c r="I184" s="8">
        <f t="shared" si="1"/>
        <v>3455.124432</v>
      </c>
      <c r="J184" s="8">
        <f t="shared" si="2"/>
        <v>1821.36</v>
      </c>
      <c r="K184" s="8">
        <f t="shared" si="3"/>
        <v>1633.764432</v>
      </c>
      <c r="L184" s="9">
        <f t="shared" si="4"/>
        <v>0.4728525598</v>
      </c>
    </row>
    <row r="185" ht="22.5" customHeight="1">
      <c r="A185" s="4" t="s">
        <v>184</v>
      </c>
      <c r="B185" s="5">
        <v>45123.0</v>
      </c>
      <c r="C185" s="4" t="s">
        <v>29</v>
      </c>
      <c r="D185" s="4" t="s">
        <v>22</v>
      </c>
      <c r="E185" s="6">
        <v>70.0</v>
      </c>
      <c r="F185" s="7">
        <v>233.2</v>
      </c>
      <c r="G185" s="7">
        <v>674.25</v>
      </c>
      <c r="H185" s="6">
        <v>34.39</v>
      </c>
      <c r="I185" s="8">
        <f t="shared" si="1"/>
        <v>30966.27975</v>
      </c>
      <c r="J185" s="8">
        <f t="shared" si="2"/>
        <v>16324</v>
      </c>
      <c r="K185" s="8">
        <f t="shared" si="3"/>
        <v>14642.27975</v>
      </c>
      <c r="L185" s="9">
        <f t="shared" si="4"/>
        <v>0.472845943</v>
      </c>
    </row>
    <row r="186" ht="22.5" customHeight="1">
      <c r="A186" s="4" t="s">
        <v>160</v>
      </c>
      <c r="B186" s="5">
        <v>45217.0</v>
      </c>
      <c r="C186" s="4" t="s">
        <v>24</v>
      </c>
      <c r="D186" s="4" t="s">
        <v>14</v>
      </c>
      <c r="E186" s="6">
        <v>27.0</v>
      </c>
      <c r="F186" s="7">
        <v>343.76</v>
      </c>
      <c r="G186" s="7">
        <v>780.44</v>
      </c>
      <c r="H186" s="6">
        <v>16.91</v>
      </c>
      <c r="I186" s="8">
        <f t="shared" si="1"/>
        <v>17508.62509</v>
      </c>
      <c r="J186" s="8">
        <f t="shared" si="2"/>
        <v>9281.52</v>
      </c>
      <c r="K186" s="8">
        <f t="shared" si="3"/>
        <v>8227.105092</v>
      </c>
      <c r="L186" s="9">
        <f t="shared" si="4"/>
        <v>0.4698887005</v>
      </c>
    </row>
    <row r="187" ht="22.5" customHeight="1">
      <c r="A187" s="4" t="s">
        <v>36</v>
      </c>
      <c r="B187" s="5">
        <v>45261.0</v>
      </c>
      <c r="C187" s="4" t="s">
        <v>16</v>
      </c>
      <c r="D187" s="4" t="s">
        <v>19</v>
      </c>
      <c r="E187" s="6">
        <v>8.0</v>
      </c>
      <c r="F187" s="7">
        <v>451.27</v>
      </c>
      <c r="G187" s="7">
        <v>896.0</v>
      </c>
      <c r="H187" s="6">
        <v>6.0</v>
      </c>
      <c r="I187" s="8">
        <f t="shared" si="1"/>
        <v>6737.92</v>
      </c>
      <c r="J187" s="8">
        <f t="shared" si="2"/>
        <v>3610.16</v>
      </c>
      <c r="K187" s="8">
        <f t="shared" si="3"/>
        <v>3127.76</v>
      </c>
      <c r="L187" s="9">
        <f t="shared" si="4"/>
        <v>0.4642026026</v>
      </c>
    </row>
    <row r="188" ht="22.5" customHeight="1">
      <c r="A188" s="4" t="s">
        <v>185</v>
      </c>
      <c r="B188" s="5">
        <v>45246.0</v>
      </c>
      <c r="C188" s="4" t="s">
        <v>16</v>
      </c>
      <c r="D188" s="4" t="s">
        <v>17</v>
      </c>
      <c r="E188" s="6">
        <v>30.0</v>
      </c>
      <c r="F188" s="7">
        <v>186.69</v>
      </c>
      <c r="G188" s="7">
        <v>541.02</v>
      </c>
      <c r="H188" s="6">
        <v>36.7</v>
      </c>
      <c r="I188" s="8">
        <f t="shared" si="1"/>
        <v>10273.9698</v>
      </c>
      <c r="J188" s="8">
        <f t="shared" si="2"/>
        <v>5600.7</v>
      </c>
      <c r="K188" s="8">
        <f t="shared" si="3"/>
        <v>4673.2698</v>
      </c>
      <c r="L188" s="9">
        <f t="shared" si="4"/>
        <v>0.4548650513</v>
      </c>
    </row>
    <row r="189" ht="22.5" customHeight="1">
      <c r="A189" s="4" t="s">
        <v>186</v>
      </c>
      <c r="B189" s="5">
        <v>45246.0</v>
      </c>
      <c r="C189" s="4" t="s">
        <v>16</v>
      </c>
      <c r="D189" s="4" t="s">
        <v>19</v>
      </c>
      <c r="E189" s="6">
        <v>37.0</v>
      </c>
      <c r="F189" s="7">
        <v>190.66</v>
      </c>
      <c r="G189" s="7">
        <v>665.11</v>
      </c>
      <c r="H189" s="6">
        <v>47.68</v>
      </c>
      <c r="I189" s="8">
        <f t="shared" si="1"/>
        <v>12875.46542</v>
      </c>
      <c r="J189" s="8">
        <f t="shared" si="2"/>
        <v>7054.42</v>
      </c>
      <c r="K189" s="8">
        <f t="shared" si="3"/>
        <v>5821.045424</v>
      </c>
      <c r="L189" s="9">
        <f t="shared" si="4"/>
        <v>0.4521036896</v>
      </c>
    </row>
    <row r="190" ht="22.5" customHeight="1">
      <c r="A190" s="4" t="s">
        <v>187</v>
      </c>
      <c r="B190" s="5">
        <v>45236.0</v>
      </c>
      <c r="C190" s="4" t="s">
        <v>29</v>
      </c>
      <c r="D190" s="4" t="s">
        <v>17</v>
      </c>
      <c r="E190" s="6">
        <v>89.0</v>
      </c>
      <c r="F190" s="7">
        <v>266.07</v>
      </c>
      <c r="G190" s="7">
        <v>833.52</v>
      </c>
      <c r="H190" s="6">
        <v>41.76</v>
      </c>
      <c r="I190" s="8">
        <f t="shared" si="1"/>
        <v>43204.34227</v>
      </c>
      <c r="J190" s="8">
        <f t="shared" si="2"/>
        <v>23680.23</v>
      </c>
      <c r="K190" s="8">
        <f t="shared" si="3"/>
        <v>19524.11227</v>
      </c>
      <c r="L190" s="9">
        <f t="shared" si="4"/>
        <v>0.4519016202</v>
      </c>
    </row>
    <row r="191" ht="22.5" customHeight="1">
      <c r="A191" s="4" t="s">
        <v>188</v>
      </c>
      <c r="B191" s="5">
        <v>45168.0</v>
      </c>
      <c r="C191" s="4" t="s">
        <v>16</v>
      </c>
      <c r="D191" s="4" t="s">
        <v>14</v>
      </c>
      <c r="E191" s="6">
        <v>40.0</v>
      </c>
      <c r="F191" s="7">
        <v>382.51</v>
      </c>
      <c r="G191" s="7">
        <v>921.56</v>
      </c>
      <c r="H191" s="6">
        <v>24.35</v>
      </c>
      <c r="I191" s="8">
        <f t="shared" si="1"/>
        <v>27886.4056</v>
      </c>
      <c r="J191" s="8">
        <f t="shared" si="2"/>
        <v>15300.4</v>
      </c>
      <c r="K191" s="8">
        <f t="shared" si="3"/>
        <v>12586.0056</v>
      </c>
      <c r="L191" s="9">
        <f t="shared" si="4"/>
        <v>0.451331225</v>
      </c>
    </row>
    <row r="192" ht="22.5" customHeight="1">
      <c r="A192" s="4" t="s">
        <v>90</v>
      </c>
      <c r="B192" s="5">
        <v>45148.0</v>
      </c>
      <c r="C192" s="4" t="s">
        <v>24</v>
      </c>
      <c r="D192" s="4" t="s">
        <v>14</v>
      </c>
      <c r="E192" s="6">
        <v>27.0</v>
      </c>
      <c r="F192" s="7">
        <v>466.49</v>
      </c>
      <c r="G192" s="7">
        <v>919.26</v>
      </c>
      <c r="H192" s="6">
        <v>7.52</v>
      </c>
      <c r="I192" s="8">
        <f t="shared" si="1"/>
        <v>22953.5545</v>
      </c>
      <c r="J192" s="8">
        <f t="shared" si="2"/>
        <v>12595.23</v>
      </c>
      <c r="K192" s="8">
        <f t="shared" si="3"/>
        <v>10358.3245</v>
      </c>
      <c r="L192" s="9">
        <f t="shared" si="4"/>
        <v>0.4512732221</v>
      </c>
    </row>
    <row r="193" ht="22.5" customHeight="1">
      <c r="A193" s="4" t="s">
        <v>189</v>
      </c>
      <c r="B193" s="5">
        <v>45194.0</v>
      </c>
      <c r="C193" s="4" t="s">
        <v>24</v>
      </c>
      <c r="D193" s="4" t="s">
        <v>19</v>
      </c>
      <c r="E193" s="6">
        <v>2.0</v>
      </c>
      <c r="F193" s="7">
        <v>441.46</v>
      </c>
      <c r="G193" s="7">
        <v>817.66</v>
      </c>
      <c r="H193" s="6">
        <v>2.16</v>
      </c>
      <c r="I193" s="8">
        <f t="shared" si="1"/>
        <v>1599.997088</v>
      </c>
      <c r="J193" s="8">
        <f t="shared" si="2"/>
        <v>882.92</v>
      </c>
      <c r="K193" s="8">
        <f t="shared" si="3"/>
        <v>717.077088</v>
      </c>
      <c r="L193" s="9">
        <f t="shared" si="4"/>
        <v>0.4481739957</v>
      </c>
    </row>
    <row r="194" ht="22.5" customHeight="1">
      <c r="A194" s="4" t="s">
        <v>190</v>
      </c>
      <c r="B194" s="5">
        <v>45000.0</v>
      </c>
      <c r="C194" s="4" t="s">
        <v>13</v>
      </c>
      <c r="D194" s="4" t="s">
        <v>22</v>
      </c>
      <c r="E194" s="6">
        <v>48.0</v>
      </c>
      <c r="F194" s="7">
        <v>389.7</v>
      </c>
      <c r="G194" s="7">
        <v>842.52</v>
      </c>
      <c r="H194" s="6">
        <v>16.65</v>
      </c>
      <c r="I194" s="8">
        <f t="shared" si="1"/>
        <v>33707.54016</v>
      </c>
      <c r="J194" s="8">
        <f t="shared" si="2"/>
        <v>18705.6</v>
      </c>
      <c r="K194" s="8">
        <f t="shared" si="3"/>
        <v>15001.94016</v>
      </c>
      <c r="L194" s="9">
        <f t="shared" si="4"/>
        <v>0.4450618493</v>
      </c>
    </row>
    <row r="195" ht="22.5" customHeight="1">
      <c r="A195" s="4" t="s">
        <v>191</v>
      </c>
      <c r="B195" s="5">
        <v>45102.0</v>
      </c>
      <c r="C195" s="4" t="s">
        <v>29</v>
      </c>
      <c r="D195" s="4" t="s">
        <v>19</v>
      </c>
      <c r="E195" s="6">
        <v>97.0</v>
      </c>
      <c r="F195" s="7">
        <v>67.14</v>
      </c>
      <c r="G195" s="7">
        <v>158.62</v>
      </c>
      <c r="H195" s="6">
        <v>23.86</v>
      </c>
      <c r="I195" s="8">
        <f t="shared" si="1"/>
        <v>11715.007</v>
      </c>
      <c r="J195" s="8">
        <f t="shared" si="2"/>
        <v>6512.58</v>
      </c>
      <c r="K195" s="8">
        <f t="shared" si="3"/>
        <v>5202.426996</v>
      </c>
      <c r="L195" s="9">
        <f t="shared" si="4"/>
        <v>0.4440822782</v>
      </c>
    </row>
    <row r="196" ht="22.5" customHeight="1">
      <c r="A196" s="4" t="s">
        <v>152</v>
      </c>
      <c r="B196" s="5">
        <v>44964.0</v>
      </c>
      <c r="C196" s="4" t="s">
        <v>29</v>
      </c>
      <c r="D196" s="4" t="s">
        <v>19</v>
      </c>
      <c r="E196" s="6">
        <v>71.0</v>
      </c>
      <c r="F196" s="7">
        <v>257.39</v>
      </c>
      <c r="G196" s="7">
        <v>889.23</v>
      </c>
      <c r="H196" s="6">
        <v>48.01</v>
      </c>
      <c r="I196" s="8">
        <f t="shared" si="1"/>
        <v>32824.05807</v>
      </c>
      <c r="J196" s="8">
        <f t="shared" si="2"/>
        <v>18274.69</v>
      </c>
      <c r="K196" s="8">
        <f t="shared" si="3"/>
        <v>14549.36807</v>
      </c>
      <c r="L196" s="9">
        <f t="shared" si="4"/>
        <v>0.4432531784</v>
      </c>
    </row>
    <row r="197" ht="22.5" customHeight="1">
      <c r="A197" s="4" t="s">
        <v>192</v>
      </c>
      <c r="B197" s="5">
        <v>45055.0</v>
      </c>
      <c r="C197" s="4" t="s">
        <v>16</v>
      </c>
      <c r="D197" s="4" t="s">
        <v>17</v>
      </c>
      <c r="E197" s="6">
        <v>62.0</v>
      </c>
      <c r="F197" s="7">
        <v>143.73</v>
      </c>
      <c r="G197" s="7">
        <v>332.44</v>
      </c>
      <c r="H197" s="6">
        <v>22.51</v>
      </c>
      <c r="I197" s="8">
        <f t="shared" si="1"/>
        <v>15971.68087</v>
      </c>
      <c r="J197" s="8">
        <f t="shared" si="2"/>
        <v>8911.26</v>
      </c>
      <c r="K197" s="8">
        <f t="shared" si="3"/>
        <v>7060.420872</v>
      </c>
      <c r="L197" s="9">
        <f t="shared" si="4"/>
        <v>0.4420587243</v>
      </c>
    </row>
    <row r="198" ht="22.5" customHeight="1">
      <c r="A198" s="4" t="s">
        <v>193</v>
      </c>
      <c r="B198" s="5">
        <v>45248.0</v>
      </c>
      <c r="C198" s="4" t="s">
        <v>16</v>
      </c>
      <c r="D198" s="4" t="s">
        <v>17</v>
      </c>
      <c r="E198" s="6">
        <v>81.0</v>
      </c>
      <c r="F198" s="7">
        <v>67.9</v>
      </c>
      <c r="G198" s="7">
        <v>195.82</v>
      </c>
      <c r="H198" s="6">
        <v>37.86</v>
      </c>
      <c r="I198" s="8">
        <f t="shared" si="1"/>
        <v>9856.286388</v>
      </c>
      <c r="J198" s="8">
        <f t="shared" si="2"/>
        <v>5499.9</v>
      </c>
      <c r="K198" s="8">
        <f t="shared" si="3"/>
        <v>4356.386388</v>
      </c>
      <c r="L198" s="9">
        <f t="shared" si="4"/>
        <v>0.441990646</v>
      </c>
    </row>
    <row r="199" ht="22.5" customHeight="1">
      <c r="A199" s="4" t="s">
        <v>194</v>
      </c>
      <c r="B199" s="5">
        <v>45152.0</v>
      </c>
      <c r="C199" s="4" t="s">
        <v>16</v>
      </c>
      <c r="D199" s="4" t="s">
        <v>19</v>
      </c>
      <c r="E199" s="6">
        <v>55.0</v>
      </c>
      <c r="F199" s="7">
        <v>367.92</v>
      </c>
      <c r="G199" s="7">
        <v>804.82</v>
      </c>
      <c r="H199" s="6">
        <v>18.49</v>
      </c>
      <c r="I199" s="8">
        <f t="shared" si="1"/>
        <v>36080.48301</v>
      </c>
      <c r="J199" s="8">
        <f t="shared" si="2"/>
        <v>20235.6</v>
      </c>
      <c r="K199" s="8">
        <f t="shared" si="3"/>
        <v>15844.88301</v>
      </c>
      <c r="L199" s="9">
        <f t="shared" si="4"/>
        <v>0.4391538496</v>
      </c>
    </row>
    <row r="200" ht="22.5" customHeight="1">
      <c r="A200" s="4" t="s">
        <v>62</v>
      </c>
      <c r="B200" s="5">
        <v>45261.0</v>
      </c>
      <c r="C200" s="4" t="s">
        <v>24</v>
      </c>
      <c r="D200" s="4" t="s">
        <v>22</v>
      </c>
      <c r="E200" s="6">
        <v>36.0</v>
      </c>
      <c r="F200" s="7">
        <v>251.15</v>
      </c>
      <c r="G200" s="7">
        <v>813.25</v>
      </c>
      <c r="H200" s="6">
        <v>45.17</v>
      </c>
      <c r="I200" s="8">
        <f t="shared" si="1"/>
        <v>16052.5791</v>
      </c>
      <c r="J200" s="8">
        <f t="shared" si="2"/>
        <v>9041.4</v>
      </c>
      <c r="K200" s="8">
        <f t="shared" si="3"/>
        <v>7011.1791</v>
      </c>
      <c r="L200" s="9">
        <f t="shared" si="4"/>
        <v>0.4367634046</v>
      </c>
    </row>
    <row r="201" ht="22.5" customHeight="1">
      <c r="A201" s="4" t="s">
        <v>195</v>
      </c>
      <c r="B201" s="5">
        <v>44968.0</v>
      </c>
      <c r="C201" s="4" t="s">
        <v>21</v>
      </c>
      <c r="D201" s="4" t="s">
        <v>17</v>
      </c>
      <c r="E201" s="6">
        <v>62.0</v>
      </c>
      <c r="F201" s="7">
        <v>440.88</v>
      </c>
      <c r="G201" s="7">
        <v>839.55</v>
      </c>
      <c r="H201" s="6">
        <v>7.55</v>
      </c>
      <c r="I201" s="8">
        <f t="shared" si="1"/>
        <v>48122.16645</v>
      </c>
      <c r="J201" s="8">
        <f t="shared" si="2"/>
        <v>27334.56</v>
      </c>
      <c r="K201" s="8">
        <f t="shared" si="3"/>
        <v>20787.60645</v>
      </c>
      <c r="L201" s="9">
        <f t="shared" si="4"/>
        <v>0.4319756982</v>
      </c>
    </row>
    <row r="202" ht="22.5" customHeight="1">
      <c r="A202" s="4" t="s">
        <v>196</v>
      </c>
      <c r="B202" s="5">
        <v>45017.0</v>
      </c>
      <c r="C202" s="4" t="s">
        <v>21</v>
      </c>
      <c r="D202" s="4" t="s">
        <v>19</v>
      </c>
      <c r="E202" s="6">
        <v>5.0</v>
      </c>
      <c r="F202" s="7">
        <v>140.12</v>
      </c>
      <c r="G202" s="7">
        <v>400.97</v>
      </c>
      <c r="H202" s="6">
        <v>38.54</v>
      </c>
      <c r="I202" s="8">
        <f t="shared" si="1"/>
        <v>1232.18081</v>
      </c>
      <c r="J202" s="8">
        <f t="shared" si="2"/>
        <v>700.6</v>
      </c>
      <c r="K202" s="8">
        <f t="shared" si="3"/>
        <v>531.58081</v>
      </c>
      <c r="L202" s="9">
        <f t="shared" si="4"/>
        <v>0.4314146152</v>
      </c>
    </row>
    <row r="203" ht="22.5" customHeight="1">
      <c r="A203" s="4" t="s">
        <v>197</v>
      </c>
      <c r="B203" s="5">
        <v>45120.0</v>
      </c>
      <c r="C203" s="4" t="s">
        <v>13</v>
      </c>
      <c r="D203" s="4" t="s">
        <v>17</v>
      </c>
      <c r="E203" s="6">
        <v>95.0</v>
      </c>
      <c r="F203" s="7">
        <v>223.69</v>
      </c>
      <c r="G203" s="7">
        <v>392.42</v>
      </c>
      <c r="H203" s="6">
        <v>0.21</v>
      </c>
      <c r="I203" s="8">
        <f t="shared" si="1"/>
        <v>37201.61221</v>
      </c>
      <c r="J203" s="8">
        <f t="shared" si="2"/>
        <v>21250.55</v>
      </c>
      <c r="K203" s="8">
        <f t="shared" si="3"/>
        <v>15951.06221</v>
      </c>
      <c r="L203" s="9">
        <f t="shared" si="4"/>
        <v>0.4287734123</v>
      </c>
    </row>
    <row r="204" ht="22.5" customHeight="1">
      <c r="A204" s="4" t="s">
        <v>198</v>
      </c>
      <c r="B204" s="5">
        <v>44953.0</v>
      </c>
      <c r="C204" s="4" t="s">
        <v>21</v>
      </c>
      <c r="D204" s="4" t="s">
        <v>14</v>
      </c>
      <c r="E204" s="6">
        <v>5.0</v>
      </c>
      <c r="F204" s="7">
        <v>195.99</v>
      </c>
      <c r="G204" s="7">
        <v>606.24</v>
      </c>
      <c r="H204" s="6">
        <v>43.68</v>
      </c>
      <c r="I204" s="8">
        <f t="shared" si="1"/>
        <v>1707.17184</v>
      </c>
      <c r="J204" s="8">
        <f t="shared" si="2"/>
        <v>979.95</v>
      </c>
      <c r="K204" s="8">
        <f t="shared" si="3"/>
        <v>727.22184</v>
      </c>
      <c r="L204" s="9">
        <f t="shared" si="4"/>
        <v>0.4259804567</v>
      </c>
    </row>
    <row r="205" ht="22.5" customHeight="1">
      <c r="A205" s="4" t="s">
        <v>199</v>
      </c>
      <c r="B205" s="5">
        <v>45247.0</v>
      </c>
      <c r="C205" s="4" t="s">
        <v>29</v>
      </c>
      <c r="D205" s="4" t="s">
        <v>17</v>
      </c>
      <c r="E205" s="6">
        <v>54.0</v>
      </c>
      <c r="F205" s="7">
        <v>348.75</v>
      </c>
      <c r="G205" s="7">
        <v>853.21</v>
      </c>
      <c r="H205" s="6">
        <v>29.23</v>
      </c>
      <c r="I205" s="8">
        <f t="shared" si="1"/>
        <v>32606.10272</v>
      </c>
      <c r="J205" s="8">
        <f t="shared" si="2"/>
        <v>18832.5</v>
      </c>
      <c r="K205" s="8">
        <f t="shared" si="3"/>
        <v>13773.60272</v>
      </c>
      <c r="L205" s="9">
        <f t="shared" si="4"/>
        <v>0.4224240731</v>
      </c>
    </row>
    <row r="206" ht="22.5" customHeight="1">
      <c r="A206" s="4" t="s">
        <v>200</v>
      </c>
      <c r="B206" s="5">
        <v>45112.0</v>
      </c>
      <c r="C206" s="4" t="s">
        <v>13</v>
      </c>
      <c r="D206" s="4" t="s">
        <v>17</v>
      </c>
      <c r="E206" s="6">
        <v>28.0</v>
      </c>
      <c r="F206" s="7">
        <v>405.71</v>
      </c>
      <c r="G206" s="7">
        <v>817.61</v>
      </c>
      <c r="H206" s="6">
        <v>14.43</v>
      </c>
      <c r="I206" s="8">
        <f t="shared" si="1"/>
        <v>19589.60856</v>
      </c>
      <c r="J206" s="8">
        <f t="shared" si="2"/>
        <v>11359.88</v>
      </c>
      <c r="K206" s="8">
        <f t="shared" si="3"/>
        <v>8229.728556</v>
      </c>
      <c r="L206" s="9">
        <f t="shared" si="4"/>
        <v>0.4201068404</v>
      </c>
    </row>
    <row r="207" ht="22.5" customHeight="1">
      <c r="A207" s="4" t="s">
        <v>201</v>
      </c>
      <c r="B207" s="5">
        <v>45190.0</v>
      </c>
      <c r="C207" s="4" t="s">
        <v>16</v>
      </c>
      <c r="D207" s="4" t="s">
        <v>17</v>
      </c>
      <c r="E207" s="6">
        <v>92.0</v>
      </c>
      <c r="F207" s="7">
        <v>336.91</v>
      </c>
      <c r="G207" s="7">
        <v>671.06</v>
      </c>
      <c r="H207" s="6">
        <v>13.68</v>
      </c>
      <c r="I207" s="8">
        <f t="shared" si="1"/>
        <v>53291.82726</v>
      </c>
      <c r="J207" s="8">
        <f t="shared" si="2"/>
        <v>30995.72</v>
      </c>
      <c r="K207" s="8">
        <f t="shared" si="3"/>
        <v>22296.10726</v>
      </c>
      <c r="L207" s="9">
        <f t="shared" si="4"/>
        <v>0.4183776089</v>
      </c>
    </row>
    <row r="208" ht="22.5" customHeight="1">
      <c r="A208" s="4" t="s">
        <v>202</v>
      </c>
      <c r="B208" s="5">
        <v>45135.0</v>
      </c>
      <c r="C208" s="4" t="s">
        <v>13</v>
      </c>
      <c r="D208" s="4" t="s">
        <v>17</v>
      </c>
      <c r="E208" s="6">
        <v>58.0</v>
      </c>
      <c r="F208" s="7">
        <v>283.73</v>
      </c>
      <c r="G208" s="7">
        <v>843.14</v>
      </c>
      <c r="H208" s="6">
        <v>42.15</v>
      </c>
      <c r="I208" s="8">
        <f t="shared" si="1"/>
        <v>28289.87642</v>
      </c>
      <c r="J208" s="8">
        <f t="shared" si="2"/>
        <v>16456.34</v>
      </c>
      <c r="K208" s="8">
        <f t="shared" si="3"/>
        <v>11833.53642</v>
      </c>
      <c r="L208" s="9">
        <f t="shared" si="4"/>
        <v>0.4182957976</v>
      </c>
    </row>
    <row r="209" ht="22.5" customHeight="1">
      <c r="A209" s="4" t="s">
        <v>203</v>
      </c>
      <c r="B209" s="5">
        <v>45105.0</v>
      </c>
      <c r="C209" s="4" t="s">
        <v>24</v>
      </c>
      <c r="D209" s="4" t="s">
        <v>14</v>
      </c>
      <c r="E209" s="6">
        <v>53.0</v>
      </c>
      <c r="F209" s="7">
        <v>81.92</v>
      </c>
      <c r="G209" s="7">
        <v>180.29</v>
      </c>
      <c r="H209" s="6">
        <v>22.02</v>
      </c>
      <c r="I209" s="8">
        <f t="shared" si="1"/>
        <v>7451.277526</v>
      </c>
      <c r="J209" s="8">
        <f t="shared" si="2"/>
        <v>4341.76</v>
      </c>
      <c r="K209" s="8">
        <f t="shared" si="3"/>
        <v>3109.517526</v>
      </c>
      <c r="L209" s="9">
        <f t="shared" si="4"/>
        <v>0.4173133419</v>
      </c>
    </row>
    <row r="210" ht="22.5" customHeight="1">
      <c r="A210" s="4" t="s">
        <v>204</v>
      </c>
      <c r="B210" s="5">
        <v>45259.0</v>
      </c>
      <c r="C210" s="4" t="s">
        <v>16</v>
      </c>
      <c r="D210" s="4" t="s">
        <v>14</v>
      </c>
      <c r="E210" s="6">
        <v>59.0</v>
      </c>
      <c r="F210" s="7">
        <v>366.01</v>
      </c>
      <c r="G210" s="7">
        <v>642.83</v>
      </c>
      <c r="H210" s="6">
        <v>2.33</v>
      </c>
      <c r="I210" s="8">
        <f t="shared" si="1"/>
        <v>37043.2716</v>
      </c>
      <c r="J210" s="8">
        <f t="shared" si="2"/>
        <v>21594.59</v>
      </c>
      <c r="K210" s="8">
        <f t="shared" si="3"/>
        <v>15448.6816</v>
      </c>
      <c r="L210" s="9">
        <f t="shared" si="4"/>
        <v>0.4170442008</v>
      </c>
    </row>
    <row r="211" ht="22.5" customHeight="1">
      <c r="A211" s="4" t="s">
        <v>30</v>
      </c>
      <c r="B211" s="5">
        <v>45263.0</v>
      </c>
      <c r="C211" s="4" t="s">
        <v>16</v>
      </c>
      <c r="D211" s="4" t="s">
        <v>19</v>
      </c>
      <c r="E211" s="6">
        <v>81.0</v>
      </c>
      <c r="F211" s="7">
        <v>446.51</v>
      </c>
      <c r="G211" s="7">
        <v>915.21</v>
      </c>
      <c r="H211" s="6">
        <v>17.05</v>
      </c>
      <c r="I211" s="8">
        <f t="shared" si="1"/>
        <v>61492.5023</v>
      </c>
      <c r="J211" s="8">
        <f t="shared" si="2"/>
        <v>36167.31</v>
      </c>
      <c r="K211" s="8">
        <f t="shared" si="3"/>
        <v>25325.1923</v>
      </c>
      <c r="L211" s="9">
        <f t="shared" si="4"/>
        <v>0.4118419539</v>
      </c>
    </row>
    <row r="212" ht="22.5" customHeight="1">
      <c r="A212" s="4" t="s">
        <v>124</v>
      </c>
      <c r="B212" s="5">
        <v>45163.0</v>
      </c>
      <c r="C212" s="4" t="s">
        <v>16</v>
      </c>
      <c r="D212" s="4" t="s">
        <v>14</v>
      </c>
      <c r="E212" s="6">
        <v>36.0</v>
      </c>
      <c r="F212" s="7">
        <v>454.94</v>
      </c>
      <c r="G212" s="7">
        <v>969.47</v>
      </c>
      <c r="H212" s="6">
        <v>20.22</v>
      </c>
      <c r="I212" s="8">
        <f t="shared" si="1"/>
        <v>27843.95398</v>
      </c>
      <c r="J212" s="8">
        <f t="shared" si="2"/>
        <v>16377.84</v>
      </c>
      <c r="K212" s="8">
        <f t="shared" si="3"/>
        <v>11466.11398</v>
      </c>
      <c r="L212" s="9">
        <f t="shared" si="4"/>
        <v>0.4117990565</v>
      </c>
    </row>
    <row r="213" ht="22.5" customHeight="1">
      <c r="A213" s="4" t="s">
        <v>145</v>
      </c>
      <c r="B213" s="5">
        <v>45288.0</v>
      </c>
      <c r="C213" s="4" t="s">
        <v>21</v>
      </c>
      <c r="D213" s="4" t="s">
        <v>14</v>
      </c>
      <c r="E213" s="6">
        <v>88.0</v>
      </c>
      <c r="F213" s="7">
        <v>329.6</v>
      </c>
      <c r="G213" s="7">
        <v>611.33</v>
      </c>
      <c r="H213" s="6">
        <v>8.79</v>
      </c>
      <c r="I213" s="8">
        <f t="shared" si="1"/>
        <v>49068.28018</v>
      </c>
      <c r="J213" s="8">
        <f t="shared" si="2"/>
        <v>29004.8</v>
      </c>
      <c r="K213" s="8">
        <f t="shared" si="3"/>
        <v>20063.48018</v>
      </c>
      <c r="L213" s="9">
        <f t="shared" si="4"/>
        <v>0.4088890034</v>
      </c>
    </row>
    <row r="214" ht="22.5" customHeight="1">
      <c r="A214" s="4" t="s">
        <v>205</v>
      </c>
      <c r="B214" s="5">
        <v>45035.0</v>
      </c>
      <c r="C214" s="4" t="s">
        <v>24</v>
      </c>
      <c r="D214" s="4" t="s">
        <v>19</v>
      </c>
      <c r="E214" s="6">
        <v>71.0</v>
      </c>
      <c r="F214" s="7">
        <v>220.47</v>
      </c>
      <c r="G214" s="7">
        <v>566.97</v>
      </c>
      <c r="H214" s="6">
        <v>34.57</v>
      </c>
      <c r="I214" s="8">
        <f t="shared" si="1"/>
        <v>26338.76144</v>
      </c>
      <c r="J214" s="8">
        <f t="shared" si="2"/>
        <v>15653.37</v>
      </c>
      <c r="K214" s="8">
        <f t="shared" si="3"/>
        <v>10685.39144</v>
      </c>
      <c r="L214" s="9">
        <f t="shared" si="4"/>
        <v>0.4056907332</v>
      </c>
    </row>
    <row r="215" ht="22.5" customHeight="1">
      <c r="A215" s="4" t="s">
        <v>206</v>
      </c>
      <c r="B215" s="5">
        <v>45086.0</v>
      </c>
      <c r="C215" s="4" t="s">
        <v>21</v>
      </c>
      <c r="D215" s="4" t="s">
        <v>19</v>
      </c>
      <c r="E215" s="6">
        <v>96.0</v>
      </c>
      <c r="F215" s="7">
        <v>161.49</v>
      </c>
      <c r="G215" s="7">
        <v>307.27</v>
      </c>
      <c r="H215" s="6">
        <v>12.71</v>
      </c>
      <c r="I215" s="8">
        <f t="shared" si="1"/>
        <v>25748.73437</v>
      </c>
      <c r="J215" s="8">
        <f t="shared" si="2"/>
        <v>15503.04</v>
      </c>
      <c r="K215" s="8">
        <f t="shared" si="3"/>
        <v>10245.69437</v>
      </c>
      <c r="L215" s="9">
        <f t="shared" si="4"/>
        <v>0.397910601</v>
      </c>
    </row>
    <row r="216" ht="22.5" customHeight="1">
      <c r="A216" s="4" t="s">
        <v>207</v>
      </c>
      <c r="B216" s="5">
        <v>45088.0</v>
      </c>
      <c r="C216" s="4" t="s">
        <v>21</v>
      </c>
      <c r="D216" s="4" t="s">
        <v>17</v>
      </c>
      <c r="E216" s="6">
        <v>55.0</v>
      </c>
      <c r="F216" s="7">
        <v>333.72</v>
      </c>
      <c r="G216" s="7">
        <v>560.61</v>
      </c>
      <c r="H216" s="6">
        <v>1.14</v>
      </c>
      <c r="I216" s="8">
        <f t="shared" si="1"/>
        <v>30482.04753</v>
      </c>
      <c r="J216" s="8">
        <f t="shared" si="2"/>
        <v>18354.6</v>
      </c>
      <c r="K216" s="8">
        <f t="shared" si="3"/>
        <v>12127.44753</v>
      </c>
      <c r="L216" s="9">
        <f t="shared" si="4"/>
        <v>0.3978554104</v>
      </c>
    </row>
    <row r="217" ht="22.5" customHeight="1">
      <c r="A217" s="4" t="s">
        <v>208</v>
      </c>
      <c r="B217" s="5">
        <v>45055.0</v>
      </c>
      <c r="C217" s="4" t="s">
        <v>16</v>
      </c>
      <c r="D217" s="4" t="s">
        <v>14</v>
      </c>
      <c r="E217" s="6">
        <v>26.0</v>
      </c>
      <c r="F217" s="7">
        <v>146.4</v>
      </c>
      <c r="G217" s="7">
        <v>391.83</v>
      </c>
      <c r="H217" s="6">
        <v>38.43</v>
      </c>
      <c r="I217" s="8">
        <f t="shared" si="1"/>
        <v>6272.493006</v>
      </c>
      <c r="J217" s="8">
        <f t="shared" si="2"/>
        <v>3806.4</v>
      </c>
      <c r="K217" s="8">
        <f t="shared" si="3"/>
        <v>2466.093006</v>
      </c>
      <c r="L217" s="9">
        <f t="shared" si="4"/>
        <v>0.3931599451</v>
      </c>
    </row>
    <row r="218" ht="22.5" customHeight="1">
      <c r="A218" s="4" t="s">
        <v>209</v>
      </c>
      <c r="B218" s="5">
        <v>44993.0</v>
      </c>
      <c r="C218" s="4" t="s">
        <v>29</v>
      </c>
      <c r="D218" s="4" t="s">
        <v>22</v>
      </c>
      <c r="E218" s="6">
        <v>33.0</v>
      </c>
      <c r="F218" s="7">
        <v>381.9</v>
      </c>
      <c r="G218" s="7">
        <v>695.93</v>
      </c>
      <c r="H218" s="6">
        <v>9.62</v>
      </c>
      <c r="I218" s="8">
        <f t="shared" si="1"/>
        <v>20756.39062</v>
      </c>
      <c r="J218" s="8">
        <f t="shared" si="2"/>
        <v>12602.7</v>
      </c>
      <c r="K218" s="8">
        <f t="shared" si="3"/>
        <v>8153.690622</v>
      </c>
      <c r="L218" s="9">
        <f t="shared" si="4"/>
        <v>0.3928279618</v>
      </c>
    </row>
    <row r="219" ht="22.5" customHeight="1">
      <c r="A219" s="4" t="s">
        <v>210</v>
      </c>
      <c r="B219" s="5">
        <v>44955.0</v>
      </c>
      <c r="C219" s="4" t="s">
        <v>13</v>
      </c>
      <c r="D219" s="4" t="s">
        <v>14</v>
      </c>
      <c r="E219" s="6">
        <v>85.0</v>
      </c>
      <c r="F219" s="7">
        <v>450.28</v>
      </c>
      <c r="G219" s="7">
        <v>927.22</v>
      </c>
      <c r="H219" s="6">
        <v>20.21</v>
      </c>
      <c r="I219" s="8">
        <f t="shared" si="1"/>
        <v>62885.45123</v>
      </c>
      <c r="J219" s="8">
        <f t="shared" si="2"/>
        <v>38273.8</v>
      </c>
      <c r="K219" s="8">
        <f t="shared" si="3"/>
        <v>24611.65123</v>
      </c>
      <c r="L219" s="9">
        <f t="shared" si="4"/>
        <v>0.391372738</v>
      </c>
    </row>
    <row r="220" ht="22.5" customHeight="1">
      <c r="A220" s="4" t="s">
        <v>211</v>
      </c>
      <c r="B220" s="5">
        <v>45206.0</v>
      </c>
      <c r="C220" s="4" t="s">
        <v>16</v>
      </c>
      <c r="D220" s="4" t="s">
        <v>22</v>
      </c>
      <c r="E220" s="6">
        <v>78.0</v>
      </c>
      <c r="F220" s="7">
        <v>431.83</v>
      </c>
      <c r="G220" s="7">
        <v>724.46</v>
      </c>
      <c r="H220" s="6">
        <v>3.02</v>
      </c>
      <c r="I220" s="8">
        <f t="shared" si="1"/>
        <v>54801.34202</v>
      </c>
      <c r="J220" s="8">
        <f t="shared" si="2"/>
        <v>33682.74</v>
      </c>
      <c r="K220" s="8">
        <f t="shared" si="3"/>
        <v>21118.60202</v>
      </c>
      <c r="L220" s="9">
        <f t="shared" si="4"/>
        <v>0.3853665119</v>
      </c>
    </row>
    <row r="221" ht="22.5" customHeight="1">
      <c r="A221" s="4" t="s">
        <v>212</v>
      </c>
      <c r="B221" s="5">
        <v>45196.0</v>
      </c>
      <c r="C221" s="4" t="s">
        <v>24</v>
      </c>
      <c r="D221" s="4" t="s">
        <v>22</v>
      </c>
      <c r="E221" s="6">
        <v>41.0</v>
      </c>
      <c r="F221" s="7">
        <v>319.32</v>
      </c>
      <c r="G221" s="7">
        <v>725.28</v>
      </c>
      <c r="H221" s="6">
        <v>28.71</v>
      </c>
      <c r="I221" s="8">
        <f t="shared" si="1"/>
        <v>21199.13659</v>
      </c>
      <c r="J221" s="8">
        <f t="shared" si="2"/>
        <v>13092.12</v>
      </c>
      <c r="K221" s="8">
        <f t="shared" si="3"/>
        <v>8107.016592</v>
      </c>
      <c r="L221" s="9">
        <f t="shared" si="4"/>
        <v>0.3824220178</v>
      </c>
    </row>
    <row r="222" ht="22.5" customHeight="1">
      <c r="A222" s="4" t="s">
        <v>142</v>
      </c>
      <c r="B222" s="5">
        <v>45262.0</v>
      </c>
      <c r="C222" s="4" t="s">
        <v>13</v>
      </c>
      <c r="D222" s="4" t="s">
        <v>17</v>
      </c>
      <c r="E222" s="6">
        <v>28.0</v>
      </c>
      <c r="F222" s="7">
        <v>265.34</v>
      </c>
      <c r="G222" s="7">
        <v>848.42</v>
      </c>
      <c r="H222" s="6">
        <v>49.64</v>
      </c>
      <c r="I222" s="8">
        <f t="shared" si="1"/>
        <v>11963.40074</v>
      </c>
      <c r="J222" s="8">
        <f t="shared" si="2"/>
        <v>7429.52</v>
      </c>
      <c r="K222" s="8">
        <f t="shared" si="3"/>
        <v>4533.880736</v>
      </c>
      <c r="L222" s="9">
        <f t="shared" si="4"/>
        <v>0.3789792582</v>
      </c>
    </row>
    <row r="223" ht="22.5" customHeight="1">
      <c r="A223" s="4" t="s">
        <v>213</v>
      </c>
      <c r="B223" s="5">
        <v>45202.0</v>
      </c>
      <c r="C223" s="4" t="s">
        <v>24</v>
      </c>
      <c r="D223" s="4" t="s">
        <v>17</v>
      </c>
      <c r="E223" s="6">
        <v>92.0</v>
      </c>
      <c r="F223" s="7">
        <v>372.08</v>
      </c>
      <c r="G223" s="7">
        <v>946.21</v>
      </c>
      <c r="H223" s="6">
        <v>37.68</v>
      </c>
      <c r="I223" s="8">
        <f t="shared" si="1"/>
        <v>54250.38262</v>
      </c>
      <c r="J223" s="8">
        <f t="shared" si="2"/>
        <v>34231.36</v>
      </c>
      <c r="K223" s="8">
        <f t="shared" si="3"/>
        <v>20019.02262</v>
      </c>
      <c r="L223" s="9">
        <f t="shared" si="4"/>
        <v>0.3690116393</v>
      </c>
    </row>
    <row r="224" ht="22.5" customHeight="1">
      <c r="A224" s="4" t="s">
        <v>51</v>
      </c>
      <c r="B224" s="5">
        <v>45013.0</v>
      </c>
      <c r="C224" s="4" t="s">
        <v>13</v>
      </c>
      <c r="D224" s="4" t="s">
        <v>19</v>
      </c>
      <c r="E224" s="6">
        <v>11.0</v>
      </c>
      <c r="F224" s="7">
        <v>273.37</v>
      </c>
      <c r="G224" s="7">
        <v>516.0</v>
      </c>
      <c r="H224" s="6">
        <v>16.86</v>
      </c>
      <c r="I224" s="8">
        <f t="shared" si="1"/>
        <v>4719.0264</v>
      </c>
      <c r="J224" s="8">
        <f t="shared" si="2"/>
        <v>3007.07</v>
      </c>
      <c r="K224" s="8">
        <f t="shared" si="3"/>
        <v>1711.9564</v>
      </c>
      <c r="L224" s="9">
        <f t="shared" si="4"/>
        <v>0.3627774577</v>
      </c>
    </row>
    <row r="225" ht="22.5" customHeight="1">
      <c r="A225" s="4" t="s">
        <v>30</v>
      </c>
      <c r="B225" s="5">
        <v>45156.0</v>
      </c>
      <c r="C225" s="4" t="s">
        <v>29</v>
      </c>
      <c r="D225" s="4" t="s">
        <v>22</v>
      </c>
      <c r="E225" s="6">
        <v>77.0</v>
      </c>
      <c r="F225" s="7">
        <v>428.78</v>
      </c>
      <c r="G225" s="7">
        <v>707.06</v>
      </c>
      <c r="H225" s="6">
        <v>5.6</v>
      </c>
      <c r="I225" s="8">
        <f t="shared" si="1"/>
        <v>51394.77728</v>
      </c>
      <c r="J225" s="8">
        <f t="shared" si="2"/>
        <v>33016.06</v>
      </c>
      <c r="K225" s="8">
        <f t="shared" si="3"/>
        <v>18378.71728</v>
      </c>
      <c r="L225" s="9">
        <f t="shared" si="4"/>
        <v>0.3575989284</v>
      </c>
    </row>
    <row r="226" ht="22.5" customHeight="1">
      <c r="A226" s="4" t="s">
        <v>214</v>
      </c>
      <c r="B226" s="5">
        <v>45219.0</v>
      </c>
      <c r="C226" s="4" t="s">
        <v>24</v>
      </c>
      <c r="D226" s="4" t="s">
        <v>17</v>
      </c>
      <c r="E226" s="6">
        <v>10.0</v>
      </c>
      <c r="F226" s="7">
        <v>330.3</v>
      </c>
      <c r="G226" s="7">
        <v>679.94</v>
      </c>
      <c r="H226" s="6">
        <v>25.13</v>
      </c>
      <c r="I226" s="8">
        <f t="shared" si="1"/>
        <v>5090.71078</v>
      </c>
      <c r="J226" s="8">
        <f t="shared" si="2"/>
        <v>3303</v>
      </c>
      <c r="K226" s="8">
        <f t="shared" si="3"/>
        <v>1787.71078</v>
      </c>
      <c r="L226" s="9">
        <f t="shared" si="4"/>
        <v>0.3511711541</v>
      </c>
    </row>
    <row r="227" ht="22.5" customHeight="1">
      <c r="A227" s="4" t="s">
        <v>215</v>
      </c>
      <c r="B227" s="5">
        <v>45263.0</v>
      </c>
      <c r="C227" s="4" t="s">
        <v>21</v>
      </c>
      <c r="D227" s="4" t="s">
        <v>22</v>
      </c>
      <c r="E227" s="6">
        <v>82.0</v>
      </c>
      <c r="F227" s="7">
        <v>309.46</v>
      </c>
      <c r="G227" s="7">
        <v>490.81</v>
      </c>
      <c r="H227" s="6">
        <v>2.93</v>
      </c>
      <c r="I227" s="8">
        <f t="shared" si="1"/>
        <v>39067.19989</v>
      </c>
      <c r="J227" s="8">
        <f t="shared" si="2"/>
        <v>25375.72</v>
      </c>
      <c r="K227" s="8">
        <f t="shared" si="3"/>
        <v>13691.47989</v>
      </c>
      <c r="L227" s="9">
        <f t="shared" si="4"/>
        <v>0.3504597189</v>
      </c>
    </row>
    <row r="228" ht="22.5" customHeight="1">
      <c r="A228" s="4" t="s">
        <v>216</v>
      </c>
      <c r="B228" s="5">
        <v>45090.0</v>
      </c>
      <c r="C228" s="4" t="s">
        <v>24</v>
      </c>
      <c r="D228" s="4" t="s">
        <v>14</v>
      </c>
      <c r="E228" s="6">
        <v>12.0</v>
      </c>
      <c r="F228" s="7">
        <v>374.41</v>
      </c>
      <c r="G228" s="7">
        <v>683.54</v>
      </c>
      <c r="H228" s="6">
        <v>16.41</v>
      </c>
      <c r="I228" s="8">
        <f t="shared" si="1"/>
        <v>6856.453032</v>
      </c>
      <c r="J228" s="8">
        <f t="shared" si="2"/>
        <v>4492.92</v>
      </c>
      <c r="K228" s="8">
        <f t="shared" si="3"/>
        <v>2363.533032</v>
      </c>
      <c r="L228" s="9">
        <f t="shared" si="4"/>
        <v>0.3447165788</v>
      </c>
    </row>
    <row r="229" ht="22.5" customHeight="1">
      <c r="A229" s="4" t="s">
        <v>217</v>
      </c>
      <c r="B229" s="5">
        <v>44964.0</v>
      </c>
      <c r="C229" s="4" t="s">
        <v>21</v>
      </c>
      <c r="D229" s="4" t="s">
        <v>19</v>
      </c>
      <c r="E229" s="6">
        <v>49.0</v>
      </c>
      <c r="F229" s="7">
        <v>268.88</v>
      </c>
      <c r="G229" s="7">
        <v>569.69</v>
      </c>
      <c r="H229" s="6">
        <v>28.27</v>
      </c>
      <c r="I229" s="8">
        <f t="shared" si="1"/>
        <v>20023.29321</v>
      </c>
      <c r="J229" s="8">
        <f t="shared" si="2"/>
        <v>13175.12</v>
      </c>
      <c r="K229" s="8">
        <f t="shared" si="3"/>
        <v>6848.173213</v>
      </c>
      <c r="L229" s="9">
        <f t="shared" si="4"/>
        <v>0.3420103347</v>
      </c>
    </row>
    <row r="230" ht="22.5" customHeight="1">
      <c r="A230" s="4" t="s">
        <v>218</v>
      </c>
      <c r="B230" s="5">
        <v>45282.0</v>
      </c>
      <c r="C230" s="4" t="s">
        <v>24</v>
      </c>
      <c r="D230" s="4" t="s">
        <v>22</v>
      </c>
      <c r="E230" s="6">
        <v>33.0</v>
      </c>
      <c r="F230" s="7">
        <v>111.22</v>
      </c>
      <c r="G230" s="7">
        <v>331.67</v>
      </c>
      <c r="H230" s="6">
        <v>49.43</v>
      </c>
      <c r="I230" s="8">
        <f t="shared" si="1"/>
        <v>5534.942127</v>
      </c>
      <c r="J230" s="8">
        <f t="shared" si="2"/>
        <v>3670.26</v>
      </c>
      <c r="K230" s="8">
        <f t="shared" si="3"/>
        <v>1864.682127</v>
      </c>
      <c r="L230" s="9">
        <f t="shared" si="4"/>
        <v>0.3368927957</v>
      </c>
    </row>
    <row r="231" ht="22.5" customHeight="1">
      <c r="A231" s="4" t="s">
        <v>219</v>
      </c>
      <c r="B231" s="5">
        <v>44945.0</v>
      </c>
      <c r="C231" s="4" t="s">
        <v>24</v>
      </c>
      <c r="D231" s="4" t="s">
        <v>19</v>
      </c>
      <c r="E231" s="6">
        <v>95.0</v>
      </c>
      <c r="F231" s="7">
        <v>437.1</v>
      </c>
      <c r="G231" s="7">
        <v>685.92</v>
      </c>
      <c r="H231" s="6">
        <v>4.01</v>
      </c>
      <c r="I231" s="8">
        <f t="shared" si="1"/>
        <v>62549.38776</v>
      </c>
      <c r="J231" s="8">
        <f t="shared" si="2"/>
        <v>41524.5</v>
      </c>
      <c r="K231" s="8">
        <f t="shared" si="3"/>
        <v>21024.88776</v>
      </c>
      <c r="L231" s="9">
        <f t="shared" si="4"/>
        <v>0.3361325908</v>
      </c>
    </row>
    <row r="232" ht="22.5" customHeight="1">
      <c r="A232" s="4" t="s">
        <v>220</v>
      </c>
      <c r="B232" s="5">
        <v>45276.0</v>
      </c>
      <c r="C232" s="4" t="s">
        <v>16</v>
      </c>
      <c r="D232" s="4" t="s">
        <v>17</v>
      </c>
      <c r="E232" s="6">
        <v>95.0</v>
      </c>
      <c r="F232" s="7">
        <v>196.52</v>
      </c>
      <c r="G232" s="7">
        <v>457.88</v>
      </c>
      <c r="H232" s="6">
        <v>36.29</v>
      </c>
      <c r="I232" s="8">
        <f t="shared" si="1"/>
        <v>27712.95806</v>
      </c>
      <c r="J232" s="8">
        <f t="shared" si="2"/>
        <v>18669.4</v>
      </c>
      <c r="K232" s="8">
        <f t="shared" si="3"/>
        <v>9043.55806</v>
      </c>
      <c r="L232" s="9">
        <f t="shared" si="4"/>
        <v>0.3263295835</v>
      </c>
    </row>
    <row r="233" ht="22.5" customHeight="1">
      <c r="A233" s="4" t="s">
        <v>221</v>
      </c>
      <c r="B233" s="5">
        <v>45179.0</v>
      </c>
      <c r="C233" s="4" t="s">
        <v>21</v>
      </c>
      <c r="D233" s="4" t="s">
        <v>19</v>
      </c>
      <c r="E233" s="6">
        <v>88.0</v>
      </c>
      <c r="F233" s="7">
        <v>372.92</v>
      </c>
      <c r="G233" s="7">
        <v>868.13</v>
      </c>
      <c r="H233" s="6">
        <v>36.57</v>
      </c>
      <c r="I233" s="8">
        <f t="shared" si="1"/>
        <v>48457.62759</v>
      </c>
      <c r="J233" s="8">
        <f t="shared" si="2"/>
        <v>32816.96</v>
      </c>
      <c r="K233" s="8">
        <f t="shared" si="3"/>
        <v>15640.66759</v>
      </c>
      <c r="L233" s="9">
        <f t="shared" si="4"/>
        <v>0.3227699821</v>
      </c>
    </row>
    <row r="234" ht="22.5" customHeight="1">
      <c r="A234" s="4" t="s">
        <v>222</v>
      </c>
      <c r="B234" s="5">
        <v>45116.0</v>
      </c>
      <c r="C234" s="4" t="s">
        <v>24</v>
      </c>
      <c r="D234" s="4" t="s">
        <v>17</v>
      </c>
      <c r="E234" s="6">
        <v>71.0</v>
      </c>
      <c r="F234" s="7">
        <v>498.1</v>
      </c>
      <c r="G234" s="7">
        <v>768.43</v>
      </c>
      <c r="H234" s="6">
        <v>4.64</v>
      </c>
      <c r="I234" s="8">
        <f t="shared" si="1"/>
        <v>52027.01421</v>
      </c>
      <c r="J234" s="8">
        <f t="shared" si="2"/>
        <v>35365.1</v>
      </c>
      <c r="K234" s="8">
        <f t="shared" si="3"/>
        <v>16661.91421</v>
      </c>
      <c r="L234" s="9">
        <f t="shared" si="4"/>
        <v>0.3202550533</v>
      </c>
    </row>
    <row r="235" ht="22.5" customHeight="1">
      <c r="A235" s="4" t="s">
        <v>223</v>
      </c>
      <c r="B235" s="5">
        <v>45134.0</v>
      </c>
      <c r="C235" s="4" t="s">
        <v>21</v>
      </c>
      <c r="D235" s="4" t="s">
        <v>22</v>
      </c>
      <c r="E235" s="6">
        <v>79.0</v>
      </c>
      <c r="F235" s="7">
        <v>53.36</v>
      </c>
      <c r="G235" s="7">
        <v>103.75</v>
      </c>
      <c r="H235" s="6">
        <v>24.73</v>
      </c>
      <c r="I235" s="8">
        <f t="shared" si="1"/>
        <v>6169.317375</v>
      </c>
      <c r="J235" s="8">
        <f t="shared" si="2"/>
        <v>4215.44</v>
      </c>
      <c r="K235" s="8">
        <f t="shared" si="3"/>
        <v>1953.877375</v>
      </c>
      <c r="L235" s="9">
        <f t="shared" si="4"/>
        <v>0.3167088441</v>
      </c>
    </row>
    <row r="236" ht="22.5" customHeight="1">
      <c r="A236" s="4" t="s">
        <v>224</v>
      </c>
      <c r="B236" s="5">
        <v>45281.0</v>
      </c>
      <c r="C236" s="4" t="s">
        <v>16</v>
      </c>
      <c r="D236" s="4" t="s">
        <v>14</v>
      </c>
      <c r="E236" s="6">
        <v>19.0</v>
      </c>
      <c r="F236" s="7">
        <v>453.85</v>
      </c>
      <c r="G236" s="7">
        <v>945.58</v>
      </c>
      <c r="H236" s="6">
        <v>29.92</v>
      </c>
      <c r="I236" s="8">
        <f t="shared" si="1"/>
        <v>12590.58682</v>
      </c>
      <c r="J236" s="8">
        <f t="shared" si="2"/>
        <v>8623.15</v>
      </c>
      <c r="K236" s="8">
        <f t="shared" si="3"/>
        <v>3967.436816</v>
      </c>
      <c r="L236" s="9">
        <f t="shared" si="4"/>
        <v>0.3151113506</v>
      </c>
    </row>
    <row r="237" ht="22.5" customHeight="1">
      <c r="A237" s="4" t="s">
        <v>225</v>
      </c>
      <c r="B237" s="5">
        <v>45249.0</v>
      </c>
      <c r="C237" s="4" t="s">
        <v>24</v>
      </c>
      <c r="D237" s="4" t="s">
        <v>14</v>
      </c>
      <c r="E237" s="6">
        <v>26.0</v>
      </c>
      <c r="F237" s="7">
        <v>238.93</v>
      </c>
      <c r="G237" s="7">
        <v>499.57</v>
      </c>
      <c r="H237" s="6">
        <v>30.46</v>
      </c>
      <c r="I237" s="8">
        <f t="shared" si="1"/>
        <v>9032.425428</v>
      </c>
      <c r="J237" s="8">
        <f t="shared" si="2"/>
        <v>6212.18</v>
      </c>
      <c r="K237" s="8">
        <f t="shared" si="3"/>
        <v>2820.245428</v>
      </c>
      <c r="L237" s="9">
        <f t="shared" si="4"/>
        <v>0.3122356725</v>
      </c>
    </row>
    <row r="238" ht="22.5" customHeight="1">
      <c r="A238" s="4" t="s">
        <v>226</v>
      </c>
      <c r="B238" s="5">
        <v>45070.0</v>
      </c>
      <c r="C238" s="4" t="s">
        <v>13</v>
      </c>
      <c r="D238" s="4" t="s">
        <v>19</v>
      </c>
      <c r="E238" s="6">
        <v>6.0</v>
      </c>
      <c r="F238" s="7">
        <v>230.26</v>
      </c>
      <c r="G238" s="7">
        <v>547.25</v>
      </c>
      <c r="H238" s="6">
        <v>39.16</v>
      </c>
      <c r="I238" s="8">
        <f t="shared" si="1"/>
        <v>1997.6814</v>
      </c>
      <c r="J238" s="8">
        <f t="shared" si="2"/>
        <v>1381.56</v>
      </c>
      <c r="K238" s="8">
        <f t="shared" si="3"/>
        <v>616.1214</v>
      </c>
      <c r="L238" s="9">
        <f t="shared" si="4"/>
        <v>0.3084182493</v>
      </c>
    </row>
    <row r="239" ht="22.5" customHeight="1">
      <c r="A239" s="4" t="s">
        <v>198</v>
      </c>
      <c r="B239" s="5">
        <v>44947.0</v>
      </c>
      <c r="C239" s="4" t="s">
        <v>13</v>
      </c>
      <c r="D239" s="4" t="s">
        <v>17</v>
      </c>
      <c r="E239" s="6">
        <v>46.0</v>
      </c>
      <c r="F239" s="7">
        <v>100.35</v>
      </c>
      <c r="G239" s="7">
        <v>150.5</v>
      </c>
      <c r="H239" s="6">
        <v>3.83</v>
      </c>
      <c r="I239" s="8">
        <f t="shared" si="1"/>
        <v>6657.8491</v>
      </c>
      <c r="J239" s="8">
        <f t="shared" si="2"/>
        <v>4616.1</v>
      </c>
      <c r="K239" s="8">
        <f t="shared" si="3"/>
        <v>2041.7491</v>
      </c>
      <c r="L239" s="9">
        <f t="shared" si="4"/>
        <v>0.3066679748</v>
      </c>
    </row>
    <row r="240" ht="22.5" customHeight="1">
      <c r="A240" s="4" t="s">
        <v>227</v>
      </c>
      <c r="B240" s="5">
        <v>44969.0</v>
      </c>
      <c r="C240" s="4" t="s">
        <v>16</v>
      </c>
      <c r="D240" s="4" t="s">
        <v>22</v>
      </c>
      <c r="E240" s="6">
        <v>75.0</v>
      </c>
      <c r="F240" s="7">
        <v>372.49</v>
      </c>
      <c r="G240" s="7">
        <v>589.06</v>
      </c>
      <c r="H240" s="6">
        <v>9.01</v>
      </c>
      <c r="I240" s="8">
        <f t="shared" si="1"/>
        <v>40198.92705</v>
      </c>
      <c r="J240" s="8">
        <f t="shared" si="2"/>
        <v>27936.75</v>
      </c>
      <c r="K240" s="8">
        <f t="shared" si="3"/>
        <v>12262.17705</v>
      </c>
      <c r="L240" s="9">
        <f t="shared" si="4"/>
        <v>0.3050374214</v>
      </c>
    </row>
    <row r="241" ht="22.5" customHeight="1">
      <c r="A241" s="4" t="s">
        <v>228</v>
      </c>
      <c r="B241" s="5">
        <v>45126.0</v>
      </c>
      <c r="C241" s="4" t="s">
        <v>21</v>
      </c>
      <c r="D241" s="4" t="s">
        <v>17</v>
      </c>
      <c r="E241" s="6">
        <v>51.0</v>
      </c>
      <c r="F241" s="7">
        <v>424.55</v>
      </c>
      <c r="G241" s="7">
        <v>630.77</v>
      </c>
      <c r="H241" s="6">
        <v>3.32</v>
      </c>
      <c r="I241" s="8">
        <f t="shared" si="1"/>
        <v>31101.25024</v>
      </c>
      <c r="J241" s="8">
        <f t="shared" si="2"/>
        <v>21652.05</v>
      </c>
      <c r="K241" s="8">
        <f t="shared" si="3"/>
        <v>9449.200236</v>
      </c>
      <c r="L241" s="9">
        <f t="shared" si="4"/>
        <v>0.3038205913</v>
      </c>
    </row>
    <row r="242" ht="22.5" customHeight="1">
      <c r="A242" s="4" t="s">
        <v>229</v>
      </c>
      <c r="B242" s="5">
        <v>45075.0</v>
      </c>
      <c r="C242" s="4" t="s">
        <v>21</v>
      </c>
      <c r="D242" s="4" t="s">
        <v>14</v>
      </c>
      <c r="E242" s="6">
        <v>44.0</v>
      </c>
      <c r="F242" s="7">
        <v>380.57</v>
      </c>
      <c r="G242" s="7">
        <v>598.25</v>
      </c>
      <c r="H242" s="6">
        <v>9.15</v>
      </c>
      <c r="I242" s="8">
        <f t="shared" si="1"/>
        <v>23914.4455</v>
      </c>
      <c r="J242" s="8">
        <f t="shared" si="2"/>
        <v>16745.08</v>
      </c>
      <c r="K242" s="8">
        <f t="shared" si="3"/>
        <v>7169.3655</v>
      </c>
      <c r="L242" s="9">
        <f t="shared" si="4"/>
        <v>0.2997922532</v>
      </c>
    </row>
    <row r="243" ht="22.5" customHeight="1">
      <c r="A243" s="4" t="s">
        <v>230</v>
      </c>
      <c r="B243" s="5">
        <v>44937.0</v>
      </c>
      <c r="C243" s="4" t="s">
        <v>16</v>
      </c>
      <c r="D243" s="4" t="s">
        <v>19</v>
      </c>
      <c r="E243" s="6">
        <v>50.0</v>
      </c>
      <c r="F243" s="7">
        <v>321.04</v>
      </c>
      <c r="G243" s="7">
        <v>830.19</v>
      </c>
      <c r="H243" s="6">
        <v>44.78</v>
      </c>
      <c r="I243" s="8">
        <f t="shared" si="1"/>
        <v>22921.5459</v>
      </c>
      <c r="J243" s="8">
        <f t="shared" si="2"/>
        <v>16052</v>
      </c>
      <c r="K243" s="8">
        <f t="shared" si="3"/>
        <v>6869.5459</v>
      </c>
      <c r="L243" s="9">
        <f t="shared" si="4"/>
        <v>0.2996981936</v>
      </c>
    </row>
    <row r="244" ht="22.5" customHeight="1">
      <c r="A244" s="4" t="s">
        <v>231</v>
      </c>
      <c r="B244" s="5">
        <v>45069.0</v>
      </c>
      <c r="C244" s="4" t="s">
        <v>21</v>
      </c>
      <c r="D244" s="4" t="s">
        <v>19</v>
      </c>
      <c r="E244" s="6">
        <v>89.0</v>
      </c>
      <c r="F244" s="7">
        <v>301.05</v>
      </c>
      <c r="G244" s="7">
        <v>583.77</v>
      </c>
      <c r="H244" s="6">
        <v>26.9</v>
      </c>
      <c r="I244" s="8">
        <f t="shared" si="1"/>
        <v>37979.49243</v>
      </c>
      <c r="J244" s="8">
        <f t="shared" si="2"/>
        <v>26793.45</v>
      </c>
      <c r="K244" s="8">
        <f t="shared" si="3"/>
        <v>11186.04243</v>
      </c>
      <c r="L244" s="9">
        <f t="shared" si="4"/>
        <v>0.2945284867</v>
      </c>
    </row>
    <row r="245" ht="22.5" customHeight="1">
      <c r="A245" s="4" t="s">
        <v>232</v>
      </c>
      <c r="B245" s="5">
        <v>45166.0</v>
      </c>
      <c r="C245" s="4" t="s">
        <v>21</v>
      </c>
      <c r="D245" s="4" t="s">
        <v>19</v>
      </c>
      <c r="E245" s="6">
        <v>44.0</v>
      </c>
      <c r="F245" s="7">
        <v>278.37</v>
      </c>
      <c r="G245" s="7">
        <v>409.61</v>
      </c>
      <c r="H245" s="6">
        <v>3.89</v>
      </c>
      <c r="I245" s="8">
        <f t="shared" si="1"/>
        <v>17321.75152</v>
      </c>
      <c r="J245" s="8">
        <f t="shared" si="2"/>
        <v>12248.28</v>
      </c>
      <c r="K245" s="8">
        <f t="shared" si="3"/>
        <v>5073.471524</v>
      </c>
      <c r="L245" s="9">
        <f t="shared" si="4"/>
        <v>0.2928959879</v>
      </c>
    </row>
    <row r="246" ht="22.5" customHeight="1">
      <c r="A246" s="4" t="s">
        <v>233</v>
      </c>
      <c r="B246" s="5">
        <v>44965.0</v>
      </c>
      <c r="C246" s="4" t="s">
        <v>29</v>
      </c>
      <c r="D246" s="4" t="s">
        <v>22</v>
      </c>
      <c r="E246" s="6">
        <v>88.0</v>
      </c>
      <c r="F246" s="7">
        <v>351.5</v>
      </c>
      <c r="G246" s="7">
        <v>770.83</v>
      </c>
      <c r="H246" s="6">
        <v>35.55</v>
      </c>
      <c r="I246" s="8">
        <f t="shared" si="1"/>
        <v>43718.39428</v>
      </c>
      <c r="J246" s="8">
        <f t="shared" si="2"/>
        <v>30932</v>
      </c>
      <c r="K246" s="8">
        <f t="shared" si="3"/>
        <v>12786.39428</v>
      </c>
      <c r="L246" s="9">
        <f t="shared" si="4"/>
        <v>0.2924717271</v>
      </c>
    </row>
    <row r="247" ht="22.5" customHeight="1">
      <c r="A247" s="4" t="s">
        <v>234</v>
      </c>
      <c r="B247" s="5">
        <v>45228.0</v>
      </c>
      <c r="C247" s="4" t="s">
        <v>13</v>
      </c>
      <c r="D247" s="4" t="s">
        <v>22</v>
      </c>
      <c r="E247" s="6">
        <v>72.0</v>
      </c>
      <c r="F247" s="7">
        <v>200.72</v>
      </c>
      <c r="G247" s="7">
        <v>432.79</v>
      </c>
      <c r="H247" s="6">
        <v>34.73</v>
      </c>
      <c r="I247" s="8">
        <f t="shared" si="1"/>
        <v>20338.70638</v>
      </c>
      <c r="J247" s="8">
        <f t="shared" si="2"/>
        <v>14451.84</v>
      </c>
      <c r="K247" s="8">
        <f t="shared" si="3"/>
        <v>5886.866376</v>
      </c>
      <c r="L247" s="9">
        <f t="shared" si="4"/>
        <v>0.2894415341</v>
      </c>
    </row>
    <row r="248" ht="22.5" customHeight="1">
      <c r="A248" s="4" t="s">
        <v>235</v>
      </c>
      <c r="B248" s="5">
        <v>44995.0</v>
      </c>
      <c r="C248" s="4" t="s">
        <v>24</v>
      </c>
      <c r="D248" s="4" t="s">
        <v>19</v>
      </c>
      <c r="E248" s="6">
        <v>42.0</v>
      </c>
      <c r="F248" s="7">
        <v>363.47</v>
      </c>
      <c r="G248" s="7">
        <v>546.96</v>
      </c>
      <c r="H248" s="6">
        <v>7.11</v>
      </c>
      <c r="I248" s="8">
        <f t="shared" si="1"/>
        <v>21338.98805</v>
      </c>
      <c r="J248" s="8">
        <f t="shared" si="2"/>
        <v>15265.74</v>
      </c>
      <c r="K248" s="8">
        <f t="shared" si="3"/>
        <v>6073.248048</v>
      </c>
      <c r="L248" s="9">
        <f t="shared" si="4"/>
        <v>0.2846080627</v>
      </c>
    </row>
    <row r="249" ht="22.5" customHeight="1">
      <c r="A249" s="4" t="s">
        <v>236</v>
      </c>
      <c r="B249" s="5">
        <v>44943.0</v>
      </c>
      <c r="C249" s="4" t="s">
        <v>13</v>
      </c>
      <c r="D249" s="4" t="s">
        <v>14</v>
      </c>
      <c r="E249" s="6">
        <v>23.0</v>
      </c>
      <c r="F249" s="7">
        <v>230.96</v>
      </c>
      <c r="G249" s="7">
        <v>426.68</v>
      </c>
      <c r="H249" s="6">
        <v>24.64</v>
      </c>
      <c r="I249" s="8">
        <f t="shared" si="1"/>
        <v>7395.559104</v>
      </c>
      <c r="J249" s="8">
        <f t="shared" si="2"/>
        <v>5312.08</v>
      </c>
      <c r="K249" s="8">
        <f t="shared" si="3"/>
        <v>2083.479104</v>
      </c>
      <c r="L249" s="9">
        <f t="shared" si="4"/>
        <v>0.2817202966</v>
      </c>
    </row>
    <row r="250" ht="22.5" customHeight="1">
      <c r="A250" s="4" t="s">
        <v>237</v>
      </c>
      <c r="B250" s="5">
        <v>45077.0</v>
      </c>
      <c r="C250" s="4" t="s">
        <v>24</v>
      </c>
      <c r="D250" s="4" t="s">
        <v>19</v>
      </c>
      <c r="E250" s="6">
        <v>30.0</v>
      </c>
      <c r="F250" s="7">
        <v>88.69</v>
      </c>
      <c r="G250" s="7">
        <v>150.71</v>
      </c>
      <c r="H250" s="6">
        <v>18.27</v>
      </c>
      <c r="I250" s="8">
        <f t="shared" si="1"/>
        <v>3695.25849</v>
      </c>
      <c r="J250" s="8">
        <f t="shared" si="2"/>
        <v>2660.7</v>
      </c>
      <c r="K250" s="8">
        <f t="shared" si="3"/>
        <v>1034.55849</v>
      </c>
      <c r="L250" s="9">
        <f t="shared" si="4"/>
        <v>0.2799691802</v>
      </c>
    </row>
    <row r="251" ht="22.5" customHeight="1">
      <c r="A251" s="4" t="s">
        <v>54</v>
      </c>
      <c r="B251" s="5">
        <v>44963.0</v>
      </c>
      <c r="C251" s="4" t="s">
        <v>24</v>
      </c>
      <c r="D251" s="4" t="s">
        <v>17</v>
      </c>
      <c r="E251" s="6">
        <v>11.0</v>
      </c>
      <c r="F251" s="7">
        <v>333.27</v>
      </c>
      <c r="G251" s="7">
        <v>900.14</v>
      </c>
      <c r="H251" s="6">
        <v>48.75</v>
      </c>
      <c r="I251" s="8">
        <f t="shared" si="1"/>
        <v>5074.53925</v>
      </c>
      <c r="J251" s="8">
        <f t="shared" si="2"/>
        <v>3665.97</v>
      </c>
      <c r="K251" s="8">
        <f t="shared" si="3"/>
        <v>1408.56925</v>
      </c>
      <c r="L251" s="9">
        <f t="shared" si="4"/>
        <v>0.2775757917</v>
      </c>
    </row>
    <row r="252" ht="22.5" customHeight="1">
      <c r="A252" s="4" t="s">
        <v>238</v>
      </c>
      <c r="B252" s="5">
        <v>45100.0</v>
      </c>
      <c r="C252" s="4" t="s">
        <v>13</v>
      </c>
      <c r="D252" s="4" t="s">
        <v>22</v>
      </c>
      <c r="E252" s="6">
        <v>73.0</v>
      </c>
      <c r="F252" s="7">
        <v>222.95</v>
      </c>
      <c r="G252" s="7">
        <v>310.1</v>
      </c>
      <c r="H252" s="6">
        <v>0.49</v>
      </c>
      <c r="I252" s="8">
        <f t="shared" si="1"/>
        <v>22526.37723</v>
      </c>
      <c r="J252" s="8">
        <f t="shared" si="2"/>
        <v>16275.35</v>
      </c>
      <c r="K252" s="8">
        <f t="shared" si="3"/>
        <v>6251.02723</v>
      </c>
      <c r="L252" s="9">
        <f t="shared" si="4"/>
        <v>0.2774981155</v>
      </c>
    </row>
    <row r="253" ht="22.5" customHeight="1">
      <c r="A253" s="4" t="s">
        <v>239</v>
      </c>
      <c r="B253" s="5">
        <v>45197.0</v>
      </c>
      <c r="C253" s="4" t="s">
        <v>21</v>
      </c>
      <c r="D253" s="4" t="s">
        <v>22</v>
      </c>
      <c r="E253" s="6">
        <v>98.0</v>
      </c>
      <c r="F253" s="7">
        <v>427.1</v>
      </c>
      <c r="G253" s="7">
        <v>695.38</v>
      </c>
      <c r="H253" s="6">
        <v>15.26</v>
      </c>
      <c r="I253" s="8">
        <f t="shared" si="1"/>
        <v>57747.97118</v>
      </c>
      <c r="J253" s="8">
        <f t="shared" si="2"/>
        <v>41855.8</v>
      </c>
      <c r="K253" s="8">
        <f t="shared" si="3"/>
        <v>15892.17118</v>
      </c>
      <c r="L253" s="9">
        <f t="shared" si="4"/>
        <v>0.2751987793</v>
      </c>
    </row>
    <row r="254" ht="22.5" customHeight="1">
      <c r="A254" s="4" t="s">
        <v>163</v>
      </c>
      <c r="B254" s="5">
        <v>45172.0</v>
      </c>
      <c r="C254" s="4" t="s">
        <v>13</v>
      </c>
      <c r="D254" s="4" t="s">
        <v>19</v>
      </c>
      <c r="E254" s="6">
        <v>46.0</v>
      </c>
      <c r="F254" s="7">
        <v>356.97</v>
      </c>
      <c r="G254" s="7">
        <v>600.29</v>
      </c>
      <c r="H254" s="6">
        <v>18.16</v>
      </c>
      <c r="I254" s="8">
        <f t="shared" si="1"/>
        <v>22598.75746</v>
      </c>
      <c r="J254" s="8">
        <f t="shared" si="2"/>
        <v>16420.62</v>
      </c>
      <c r="K254" s="8">
        <f t="shared" si="3"/>
        <v>6178.137456</v>
      </c>
      <c r="L254" s="9">
        <f t="shared" si="4"/>
        <v>0.2733839446</v>
      </c>
    </row>
    <row r="255" ht="22.5" customHeight="1">
      <c r="A255" s="4" t="s">
        <v>226</v>
      </c>
      <c r="B255" s="5">
        <v>44997.0</v>
      </c>
      <c r="C255" s="4" t="s">
        <v>13</v>
      </c>
      <c r="D255" s="4" t="s">
        <v>14</v>
      </c>
      <c r="E255" s="6">
        <v>92.0</v>
      </c>
      <c r="F255" s="7">
        <v>367.63</v>
      </c>
      <c r="G255" s="7">
        <v>805.31</v>
      </c>
      <c r="H255" s="6">
        <v>37.18</v>
      </c>
      <c r="I255" s="8">
        <f t="shared" si="1"/>
        <v>46542.40826</v>
      </c>
      <c r="J255" s="8">
        <f t="shared" si="2"/>
        <v>33821.96</v>
      </c>
      <c r="K255" s="8">
        <f t="shared" si="3"/>
        <v>12720.44826</v>
      </c>
      <c r="L255" s="9">
        <f t="shared" si="4"/>
        <v>0.273308768</v>
      </c>
    </row>
    <row r="256" ht="22.5" customHeight="1">
      <c r="A256" s="4" t="s">
        <v>63</v>
      </c>
      <c r="B256" s="5">
        <v>45115.0</v>
      </c>
      <c r="C256" s="4" t="s">
        <v>24</v>
      </c>
      <c r="D256" s="4" t="s">
        <v>17</v>
      </c>
      <c r="E256" s="6">
        <v>83.0</v>
      </c>
      <c r="F256" s="7">
        <v>412.22</v>
      </c>
      <c r="G256" s="7">
        <v>671.57</v>
      </c>
      <c r="H256" s="6">
        <v>15.95</v>
      </c>
      <c r="I256" s="8">
        <f t="shared" si="1"/>
        <v>46849.73056</v>
      </c>
      <c r="J256" s="8">
        <f t="shared" si="2"/>
        <v>34214.26</v>
      </c>
      <c r="K256" s="8">
        <f t="shared" si="3"/>
        <v>12635.47056</v>
      </c>
      <c r="L256" s="9">
        <f t="shared" si="4"/>
        <v>0.2697020966</v>
      </c>
    </row>
    <row r="257" ht="22.5" customHeight="1">
      <c r="A257" s="4" t="s">
        <v>240</v>
      </c>
      <c r="B257" s="5">
        <v>45118.0</v>
      </c>
      <c r="C257" s="4" t="s">
        <v>29</v>
      </c>
      <c r="D257" s="4" t="s">
        <v>17</v>
      </c>
      <c r="E257" s="6">
        <v>54.0</v>
      </c>
      <c r="F257" s="7">
        <v>294.04</v>
      </c>
      <c r="G257" s="7">
        <v>428.36</v>
      </c>
      <c r="H257" s="6">
        <v>6.03</v>
      </c>
      <c r="I257" s="8">
        <f t="shared" si="1"/>
        <v>21736.61417</v>
      </c>
      <c r="J257" s="8">
        <f t="shared" si="2"/>
        <v>15878.16</v>
      </c>
      <c r="K257" s="8">
        <f t="shared" si="3"/>
        <v>5858.454168</v>
      </c>
      <c r="L257" s="9">
        <f t="shared" si="4"/>
        <v>0.2695200882</v>
      </c>
    </row>
    <row r="258" ht="22.5" customHeight="1">
      <c r="A258" s="4" t="s">
        <v>241</v>
      </c>
      <c r="B258" s="5">
        <v>45195.0</v>
      </c>
      <c r="C258" s="4" t="s">
        <v>24</v>
      </c>
      <c r="D258" s="4" t="s">
        <v>17</v>
      </c>
      <c r="E258" s="6">
        <v>46.0</v>
      </c>
      <c r="F258" s="7">
        <v>399.05</v>
      </c>
      <c r="G258" s="7">
        <v>845.3</v>
      </c>
      <c r="H258" s="6">
        <v>35.57</v>
      </c>
      <c r="I258" s="8">
        <f t="shared" si="1"/>
        <v>25052.83234</v>
      </c>
      <c r="J258" s="8">
        <f t="shared" si="2"/>
        <v>18356.3</v>
      </c>
      <c r="K258" s="8">
        <f t="shared" si="3"/>
        <v>6696.53234</v>
      </c>
      <c r="L258" s="9">
        <f t="shared" si="4"/>
        <v>0.2672964178</v>
      </c>
    </row>
    <row r="259" ht="22.5" customHeight="1">
      <c r="A259" s="4" t="s">
        <v>242</v>
      </c>
      <c r="B259" s="5">
        <v>44990.0</v>
      </c>
      <c r="C259" s="4" t="s">
        <v>16</v>
      </c>
      <c r="D259" s="4" t="s">
        <v>19</v>
      </c>
      <c r="E259" s="6">
        <v>62.0</v>
      </c>
      <c r="F259" s="7">
        <v>422.6</v>
      </c>
      <c r="G259" s="7">
        <v>835.5</v>
      </c>
      <c r="H259" s="6">
        <v>31.04</v>
      </c>
      <c r="I259" s="8">
        <f t="shared" si="1"/>
        <v>35721.9696</v>
      </c>
      <c r="J259" s="8">
        <f t="shared" si="2"/>
        <v>26201.2</v>
      </c>
      <c r="K259" s="8">
        <f t="shared" si="3"/>
        <v>9520.7696</v>
      </c>
      <c r="L259" s="9">
        <f t="shared" si="4"/>
        <v>0.2665242064</v>
      </c>
    </row>
    <row r="260" ht="22.5" customHeight="1">
      <c r="A260" s="4" t="s">
        <v>243</v>
      </c>
      <c r="B260" s="5">
        <v>45188.0</v>
      </c>
      <c r="C260" s="4" t="s">
        <v>29</v>
      </c>
      <c r="D260" s="4" t="s">
        <v>19</v>
      </c>
      <c r="E260" s="6">
        <v>18.0</v>
      </c>
      <c r="F260" s="7">
        <v>457.7</v>
      </c>
      <c r="G260" s="7">
        <v>916.32</v>
      </c>
      <c r="H260" s="6">
        <v>32.34</v>
      </c>
      <c r="I260" s="8">
        <f t="shared" si="1"/>
        <v>11159.67802</v>
      </c>
      <c r="J260" s="8">
        <f t="shared" si="2"/>
        <v>8238.6</v>
      </c>
      <c r="K260" s="8">
        <f t="shared" si="3"/>
        <v>2921.078016</v>
      </c>
      <c r="L260" s="9">
        <f t="shared" si="4"/>
        <v>0.2617528939</v>
      </c>
    </row>
    <row r="261" ht="22.5" customHeight="1">
      <c r="A261" s="4" t="s">
        <v>244</v>
      </c>
      <c r="B261" s="5">
        <v>45267.0</v>
      </c>
      <c r="C261" s="4" t="s">
        <v>13</v>
      </c>
      <c r="D261" s="4" t="s">
        <v>19</v>
      </c>
      <c r="E261" s="6">
        <v>57.0</v>
      </c>
      <c r="F261" s="7">
        <v>316.77</v>
      </c>
      <c r="G261" s="7">
        <v>622.13</v>
      </c>
      <c r="H261" s="6">
        <v>31.15</v>
      </c>
      <c r="I261" s="8">
        <f t="shared" si="1"/>
        <v>24415.18079</v>
      </c>
      <c r="J261" s="8">
        <f t="shared" si="2"/>
        <v>18055.89</v>
      </c>
      <c r="K261" s="8">
        <f t="shared" si="3"/>
        <v>6359.290785</v>
      </c>
      <c r="L261" s="9">
        <f t="shared" si="4"/>
        <v>0.26046462</v>
      </c>
    </row>
    <row r="262" ht="22.5" customHeight="1">
      <c r="A262" s="4" t="s">
        <v>245</v>
      </c>
      <c r="B262" s="5">
        <v>45121.0</v>
      </c>
      <c r="C262" s="4" t="s">
        <v>16</v>
      </c>
      <c r="D262" s="4" t="s">
        <v>22</v>
      </c>
      <c r="E262" s="6">
        <v>87.0</v>
      </c>
      <c r="F262" s="7">
        <v>393.36</v>
      </c>
      <c r="G262" s="7">
        <v>867.63</v>
      </c>
      <c r="H262" s="6">
        <v>38.81</v>
      </c>
      <c r="I262" s="8">
        <f t="shared" si="1"/>
        <v>46188.54334</v>
      </c>
      <c r="J262" s="8">
        <f t="shared" si="2"/>
        <v>34222.32</v>
      </c>
      <c r="K262" s="8">
        <f t="shared" si="3"/>
        <v>11966.22334</v>
      </c>
      <c r="L262" s="9">
        <f t="shared" si="4"/>
        <v>0.2590734081</v>
      </c>
    </row>
    <row r="263" ht="22.5" customHeight="1">
      <c r="A263" s="4" t="s">
        <v>246</v>
      </c>
      <c r="B263" s="5">
        <v>44990.0</v>
      </c>
      <c r="C263" s="4" t="s">
        <v>13</v>
      </c>
      <c r="D263" s="4" t="s">
        <v>14</v>
      </c>
      <c r="E263" s="6">
        <v>49.0</v>
      </c>
      <c r="F263" s="7">
        <v>481.54</v>
      </c>
      <c r="G263" s="7">
        <v>842.05</v>
      </c>
      <c r="H263" s="6">
        <v>23.24</v>
      </c>
      <c r="I263" s="8">
        <f t="shared" si="1"/>
        <v>31671.52142</v>
      </c>
      <c r="J263" s="8">
        <f t="shared" si="2"/>
        <v>23595.46</v>
      </c>
      <c r="K263" s="8">
        <f t="shared" si="3"/>
        <v>8076.06142</v>
      </c>
      <c r="L263" s="9">
        <f t="shared" si="4"/>
        <v>0.2549944258</v>
      </c>
    </row>
    <row r="264" ht="22.5" customHeight="1">
      <c r="A264" s="4" t="s">
        <v>247</v>
      </c>
      <c r="B264" s="5">
        <v>44944.0</v>
      </c>
      <c r="C264" s="4" t="s">
        <v>29</v>
      </c>
      <c r="D264" s="4" t="s">
        <v>19</v>
      </c>
      <c r="E264" s="6">
        <v>81.0</v>
      </c>
      <c r="F264" s="7">
        <v>93.24</v>
      </c>
      <c r="G264" s="7">
        <v>236.04</v>
      </c>
      <c r="H264" s="6">
        <v>47.03</v>
      </c>
      <c r="I264" s="8">
        <f t="shared" si="1"/>
        <v>10127.46143</v>
      </c>
      <c r="J264" s="8">
        <f t="shared" si="2"/>
        <v>7552.44</v>
      </c>
      <c r="K264" s="8">
        <f t="shared" si="3"/>
        <v>2575.021428</v>
      </c>
      <c r="L264" s="9">
        <f t="shared" si="4"/>
        <v>0.2542612921</v>
      </c>
    </row>
    <row r="265" ht="22.5" customHeight="1">
      <c r="A265" s="4" t="s">
        <v>248</v>
      </c>
      <c r="B265" s="5">
        <v>44967.0</v>
      </c>
      <c r="C265" s="4" t="s">
        <v>29</v>
      </c>
      <c r="D265" s="4" t="s">
        <v>19</v>
      </c>
      <c r="E265" s="6">
        <v>79.0</v>
      </c>
      <c r="F265" s="7">
        <v>340.91</v>
      </c>
      <c r="G265" s="7">
        <v>850.46</v>
      </c>
      <c r="H265" s="6">
        <v>46.58</v>
      </c>
      <c r="I265" s="8">
        <f t="shared" si="1"/>
        <v>35890.94283</v>
      </c>
      <c r="J265" s="8">
        <f t="shared" si="2"/>
        <v>26931.89</v>
      </c>
      <c r="K265" s="8">
        <f t="shared" si="3"/>
        <v>8959.052828</v>
      </c>
      <c r="L265" s="9">
        <f t="shared" si="4"/>
        <v>0.2496187651</v>
      </c>
    </row>
    <row r="266" ht="22.5" customHeight="1">
      <c r="A266" s="4" t="s">
        <v>23</v>
      </c>
      <c r="B266" s="5">
        <v>45214.0</v>
      </c>
      <c r="C266" s="4" t="s">
        <v>29</v>
      </c>
      <c r="D266" s="4" t="s">
        <v>22</v>
      </c>
      <c r="E266" s="6">
        <v>26.0</v>
      </c>
      <c r="F266" s="7">
        <v>204.68</v>
      </c>
      <c r="G266" s="7">
        <v>290.74</v>
      </c>
      <c r="H266" s="6">
        <v>6.34</v>
      </c>
      <c r="I266" s="8">
        <f t="shared" si="1"/>
        <v>7079.984184</v>
      </c>
      <c r="J266" s="8">
        <f t="shared" si="2"/>
        <v>5321.68</v>
      </c>
      <c r="K266" s="8">
        <f t="shared" si="3"/>
        <v>1758.304184</v>
      </c>
      <c r="L266" s="9">
        <f t="shared" si="4"/>
        <v>0.2483486034</v>
      </c>
    </row>
    <row r="267" ht="22.5" customHeight="1">
      <c r="A267" s="4" t="s">
        <v>249</v>
      </c>
      <c r="B267" s="5">
        <v>45128.0</v>
      </c>
      <c r="C267" s="4" t="s">
        <v>29</v>
      </c>
      <c r="D267" s="4" t="s">
        <v>17</v>
      </c>
      <c r="E267" s="6">
        <v>69.0</v>
      </c>
      <c r="F267" s="7">
        <v>465.92</v>
      </c>
      <c r="G267" s="7">
        <v>655.81</v>
      </c>
      <c r="H267" s="6">
        <v>5.56</v>
      </c>
      <c r="I267" s="8">
        <f t="shared" si="1"/>
        <v>42734.94052</v>
      </c>
      <c r="J267" s="8">
        <f t="shared" si="2"/>
        <v>32148.48</v>
      </c>
      <c r="K267" s="8">
        <f t="shared" si="3"/>
        <v>10586.46052</v>
      </c>
      <c r="L267" s="9">
        <f t="shared" si="4"/>
        <v>0.2477237686</v>
      </c>
    </row>
    <row r="268" ht="22.5" customHeight="1">
      <c r="A268" s="4" t="s">
        <v>250</v>
      </c>
      <c r="B268" s="5">
        <v>45130.0</v>
      </c>
      <c r="C268" s="4" t="s">
        <v>29</v>
      </c>
      <c r="D268" s="4" t="s">
        <v>19</v>
      </c>
      <c r="E268" s="6">
        <v>98.0</v>
      </c>
      <c r="F268" s="7">
        <v>145.3</v>
      </c>
      <c r="G268" s="7">
        <v>249.2</v>
      </c>
      <c r="H268" s="6">
        <v>22.52</v>
      </c>
      <c r="I268" s="8">
        <f t="shared" si="1"/>
        <v>18921.85568</v>
      </c>
      <c r="J268" s="8">
        <f t="shared" si="2"/>
        <v>14239.4</v>
      </c>
      <c r="K268" s="8">
        <f t="shared" si="3"/>
        <v>4682.45568</v>
      </c>
      <c r="L268" s="9">
        <f t="shared" si="4"/>
        <v>0.2474628154</v>
      </c>
    </row>
    <row r="269" ht="22.5" customHeight="1">
      <c r="A269" s="4" t="s">
        <v>251</v>
      </c>
      <c r="B269" s="5">
        <v>45140.0</v>
      </c>
      <c r="C269" s="4" t="s">
        <v>21</v>
      </c>
      <c r="D269" s="4" t="s">
        <v>19</v>
      </c>
      <c r="E269" s="6">
        <v>89.0</v>
      </c>
      <c r="F269" s="7">
        <v>384.75</v>
      </c>
      <c r="G269" s="7">
        <v>995.07</v>
      </c>
      <c r="H269" s="6">
        <v>48.89</v>
      </c>
      <c r="I269" s="8">
        <f t="shared" si="1"/>
        <v>45263.64465</v>
      </c>
      <c r="J269" s="8">
        <f t="shared" si="2"/>
        <v>34242.75</v>
      </c>
      <c r="K269" s="8">
        <f t="shared" si="3"/>
        <v>11020.89465</v>
      </c>
      <c r="L269" s="9">
        <f t="shared" si="4"/>
        <v>0.2434822635</v>
      </c>
    </row>
    <row r="270" ht="22.5" customHeight="1">
      <c r="A270" s="4" t="s">
        <v>252</v>
      </c>
      <c r="B270" s="5">
        <v>45191.0</v>
      </c>
      <c r="C270" s="4" t="s">
        <v>13</v>
      </c>
      <c r="D270" s="4" t="s">
        <v>19</v>
      </c>
      <c r="E270" s="6">
        <v>56.0</v>
      </c>
      <c r="F270" s="7">
        <v>152.34</v>
      </c>
      <c r="G270" s="7">
        <v>384.61</v>
      </c>
      <c r="H270" s="6">
        <v>47.71</v>
      </c>
      <c r="I270" s="8">
        <f t="shared" si="1"/>
        <v>11262.30386</v>
      </c>
      <c r="J270" s="8">
        <f t="shared" si="2"/>
        <v>8531.04</v>
      </c>
      <c r="K270" s="8">
        <f t="shared" si="3"/>
        <v>2731.263864</v>
      </c>
      <c r="L270" s="9">
        <f t="shared" si="4"/>
        <v>0.2425137784</v>
      </c>
    </row>
    <row r="271" ht="22.5" customHeight="1">
      <c r="A271" s="4" t="s">
        <v>62</v>
      </c>
      <c r="B271" s="5">
        <v>45229.0</v>
      </c>
      <c r="C271" s="4" t="s">
        <v>13</v>
      </c>
      <c r="D271" s="4" t="s">
        <v>22</v>
      </c>
      <c r="E271" s="6">
        <v>69.0</v>
      </c>
      <c r="F271" s="7">
        <v>119.19</v>
      </c>
      <c r="G271" s="7">
        <v>213.08</v>
      </c>
      <c r="H271" s="6">
        <v>26.44</v>
      </c>
      <c r="I271" s="8">
        <f t="shared" si="1"/>
        <v>10815.17371</v>
      </c>
      <c r="J271" s="8">
        <f t="shared" si="2"/>
        <v>8224.11</v>
      </c>
      <c r="K271" s="8">
        <f t="shared" si="3"/>
        <v>2591.063712</v>
      </c>
      <c r="L271" s="9">
        <f t="shared" si="4"/>
        <v>0.2395767078</v>
      </c>
    </row>
    <row r="272" ht="22.5" customHeight="1">
      <c r="A272" s="4" t="s">
        <v>253</v>
      </c>
      <c r="B272" s="5">
        <v>45031.0</v>
      </c>
      <c r="C272" s="4" t="s">
        <v>13</v>
      </c>
      <c r="D272" s="4" t="s">
        <v>19</v>
      </c>
      <c r="E272" s="6">
        <v>32.0</v>
      </c>
      <c r="F272" s="7">
        <v>494.39</v>
      </c>
      <c r="G272" s="7">
        <v>761.6</v>
      </c>
      <c r="H272" s="6">
        <v>14.81</v>
      </c>
      <c r="I272" s="8">
        <f t="shared" si="1"/>
        <v>20761.82528</v>
      </c>
      <c r="J272" s="8">
        <f t="shared" si="2"/>
        <v>15820.48</v>
      </c>
      <c r="K272" s="8">
        <f t="shared" si="3"/>
        <v>4941.34528</v>
      </c>
      <c r="L272" s="9">
        <f t="shared" si="4"/>
        <v>0.2380014865</v>
      </c>
    </row>
    <row r="273" ht="22.5" customHeight="1">
      <c r="A273" s="4" t="s">
        <v>254</v>
      </c>
      <c r="B273" s="5">
        <v>44956.0</v>
      </c>
      <c r="C273" s="4" t="s">
        <v>16</v>
      </c>
      <c r="D273" s="4" t="s">
        <v>14</v>
      </c>
      <c r="E273" s="6">
        <v>12.0</v>
      </c>
      <c r="F273" s="7">
        <v>360.69</v>
      </c>
      <c r="G273" s="7">
        <v>507.16</v>
      </c>
      <c r="H273" s="6">
        <v>7.46</v>
      </c>
      <c r="I273" s="8">
        <f t="shared" si="1"/>
        <v>5631.910368</v>
      </c>
      <c r="J273" s="8">
        <f t="shared" si="2"/>
        <v>4328.28</v>
      </c>
      <c r="K273" s="8">
        <f t="shared" si="3"/>
        <v>1303.630368</v>
      </c>
      <c r="L273" s="9">
        <f t="shared" si="4"/>
        <v>0.2314721441</v>
      </c>
    </row>
    <row r="274" ht="22.5" customHeight="1">
      <c r="A274" s="4" t="s">
        <v>255</v>
      </c>
      <c r="B274" s="5">
        <v>45270.0</v>
      </c>
      <c r="C274" s="4" t="s">
        <v>16</v>
      </c>
      <c r="D274" s="4" t="s">
        <v>22</v>
      </c>
      <c r="E274" s="6">
        <v>73.0</v>
      </c>
      <c r="F274" s="7">
        <v>333.93</v>
      </c>
      <c r="G274" s="7">
        <v>821.49</v>
      </c>
      <c r="H274" s="6">
        <v>47.19</v>
      </c>
      <c r="I274" s="8">
        <f t="shared" si="1"/>
        <v>31669.50744</v>
      </c>
      <c r="J274" s="8">
        <f t="shared" si="2"/>
        <v>24376.89</v>
      </c>
      <c r="K274" s="8">
        <f t="shared" si="3"/>
        <v>7292.617437</v>
      </c>
      <c r="L274" s="9">
        <f t="shared" si="4"/>
        <v>0.2302725248</v>
      </c>
    </row>
    <row r="275" ht="22.5" customHeight="1">
      <c r="A275" s="4" t="s">
        <v>256</v>
      </c>
      <c r="B275" s="5">
        <v>45194.0</v>
      </c>
      <c r="C275" s="4" t="s">
        <v>29</v>
      </c>
      <c r="D275" s="4" t="s">
        <v>17</v>
      </c>
      <c r="E275" s="6">
        <v>70.0</v>
      </c>
      <c r="F275" s="7">
        <v>392.89</v>
      </c>
      <c r="G275" s="7">
        <v>641.51</v>
      </c>
      <c r="H275" s="6">
        <v>21.12</v>
      </c>
      <c r="I275" s="8">
        <f t="shared" si="1"/>
        <v>35421.61616</v>
      </c>
      <c r="J275" s="8">
        <f t="shared" si="2"/>
        <v>27502.3</v>
      </c>
      <c r="K275" s="8">
        <f t="shared" si="3"/>
        <v>7919.31616</v>
      </c>
      <c r="L275" s="9">
        <f t="shared" si="4"/>
        <v>0.2235729766</v>
      </c>
    </row>
    <row r="276" ht="22.5" customHeight="1">
      <c r="A276" s="4" t="s">
        <v>163</v>
      </c>
      <c r="B276" s="5">
        <v>45182.0</v>
      </c>
      <c r="C276" s="4" t="s">
        <v>29</v>
      </c>
      <c r="D276" s="4" t="s">
        <v>19</v>
      </c>
      <c r="E276" s="6">
        <v>86.0</v>
      </c>
      <c r="F276" s="7">
        <v>399.38</v>
      </c>
      <c r="G276" s="7">
        <v>738.42</v>
      </c>
      <c r="H276" s="6">
        <v>30.76</v>
      </c>
      <c r="I276" s="8">
        <f t="shared" si="1"/>
        <v>43970.25269</v>
      </c>
      <c r="J276" s="8">
        <f t="shared" si="2"/>
        <v>34346.68</v>
      </c>
      <c r="K276" s="8">
        <f t="shared" si="3"/>
        <v>9623.572688</v>
      </c>
      <c r="L276" s="9">
        <f t="shared" si="4"/>
        <v>0.2188655307</v>
      </c>
    </row>
    <row r="277" ht="22.5" customHeight="1">
      <c r="A277" s="4" t="s">
        <v>88</v>
      </c>
      <c r="B277" s="5">
        <v>45232.0</v>
      </c>
      <c r="C277" s="4" t="s">
        <v>24</v>
      </c>
      <c r="D277" s="4" t="s">
        <v>17</v>
      </c>
      <c r="E277" s="6">
        <v>83.0</v>
      </c>
      <c r="F277" s="7">
        <v>201.08</v>
      </c>
      <c r="G277" s="7">
        <v>438.08</v>
      </c>
      <c r="H277" s="6">
        <v>41.38</v>
      </c>
      <c r="I277" s="8">
        <f t="shared" si="1"/>
        <v>21314.60717</v>
      </c>
      <c r="J277" s="8">
        <f t="shared" si="2"/>
        <v>16689.64</v>
      </c>
      <c r="K277" s="8">
        <f t="shared" si="3"/>
        <v>4624.967168</v>
      </c>
      <c r="L277" s="9">
        <f t="shared" si="4"/>
        <v>0.2169858038</v>
      </c>
    </row>
    <row r="278" ht="22.5" customHeight="1">
      <c r="A278" s="4" t="s">
        <v>257</v>
      </c>
      <c r="B278" s="5">
        <v>45189.0</v>
      </c>
      <c r="C278" s="4" t="s">
        <v>29</v>
      </c>
      <c r="D278" s="4" t="s">
        <v>14</v>
      </c>
      <c r="E278" s="6">
        <v>73.0</v>
      </c>
      <c r="F278" s="7">
        <v>335.37</v>
      </c>
      <c r="G278" s="7">
        <v>748.05</v>
      </c>
      <c r="H278" s="6">
        <v>42.76</v>
      </c>
      <c r="I278" s="8">
        <f t="shared" si="1"/>
        <v>31257.41886</v>
      </c>
      <c r="J278" s="8">
        <f t="shared" si="2"/>
        <v>24482.01</v>
      </c>
      <c r="K278" s="8">
        <f t="shared" si="3"/>
        <v>6775.40886</v>
      </c>
      <c r="L278" s="9">
        <f t="shared" si="4"/>
        <v>0.2167616235</v>
      </c>
    </row>
    <row r="279" ht="22.5" customHeight="1">
      <c r="A279" s="4" t="s">
        <v>92</v>
      </c>
      <c r="B279" s="5">
        <v>44929.0</v>
      </c>
      <c r="C279" s="4" t="s">
        <v>24</v>
      </c>
      <c r="D279" s="4" t="s">
        <v>19</v>
      </c>
      <c r="E279" s="6">
        <v>28.0</v>
      </c>
      <c r="F279" s="7">
        <v>392.27</v>
      </c>
      <c r="G279" s="7">
        <v>572.32</v>
      </c>
      <c r="H279" s="6">
        <v>12.54</v>
      </c>
      <c r="I279" s="8">
        <f t="shared" si="1"/>
        <v>14015.43002</v>
      </c>
      <c r="J279" s="8">
        <f t="shared" si="2"/>
        <v>10983.56</v>
      </c>
      <c r="K279" s="8">
        <f t="shared" si="3"/>
        <v>3031.870016</v>
      </c>
      <c r="L279" s="9">
        <f t="shared" si="4"/>
        <v>0.2163237241</v>
      </c>
    </row>
    <row r="280" ht="22.5" customHeight="1">
      <c r="A280" s="4" t="s">
        <v>231</v>
      </c>
      <c r="B280" s="5">
        <v>44960.0</v>
      </c>
      <c r="C280" s="4" t="s">
        <v>24</v>
      </c>
      <c r="D280" s="4" t="s">
        <v>17</v>
      </c>
      <c r="E280" s="6">
        <v>65.0</v>
      </c>
      <c r="F280" s="7">
        <v>451.34</v>
      </c>
      <c r="G280" s="7">
        <v>870.03</v>
      </c>
      <c r="H280" s="6">
        <v>33.88</v>
      </c>
      <c r="I280" s="8">
        <f t="shared" si="1"/>
        <v>37392.14934</v>
      </c>
      <c r="J280" s="8">
        <f t="shared" si="2"/>
        <v>29337.1</v>
      </c>
      <c r="K280" s="8">
        <f t="shared" si="3"/>
        <v>8055.04934</v>
      </c>
      <c r="L280" s="9">
        <f t="shared" si="4"/>
        <v>0.2154208699</v>
      </c>
    </row>
    <row r="281" ht="22.5" customHeight="1">
      <c r="A281" s="4" t="s">
        <v>258</v>
      </c>
      <c r="B281" s="5">
        <v>45092.0</v>
      </c>
      <c r="C281" s="4" t="s">
        <v>24</v>
      </c>
      <c r="D281" s="4" t="s">
        <v>17</v>
      </c>
      <c r="E281" s="6">
        <v>95.0</v>
      </c>
      <c r="F281" s="7">
        <v>90.42</v>
      </c>
      <c r="G281" s="7">
        <v>155.15</v>
      </c>
      <c r="H281" s="6">
        <v>25.96</v>
      </c>
      <c r="I281" s="8">
        <f t="shared" si="1"/>
        <v>10912.9407</v>
      </c>
      <c r="J281" s="8">
        <f t="shared" si="2"/>
        <v>8589.9</v>
      </c>
      <c r="K281" s="8">
        <f t="shared" si="3"/>
        <v>2323.0407</v>
      </c>
      <c r="L281" s="9">
        <f t="shared" si="4"/>
        <v>0.2128702761</v>
      </c>
    </row>
    <row r="282" ht="22.5" customHeight="1">
      <c r="A282" s="4" t="s">
        <v>259</v>
      </c>
      <c r="B282" s="5">
        <v>45243.0</v>
      </c>
      <c r="C282" s="4" t="s">
        <v>24</v>
      </c>
      <c r="D282" s="4" t="s">
        <v>17</v>
      </c>
      <c r="E282" s="6">
        <v>9.0</v>
      </c>
      <c r="F282" s="7">
        <v>197.94</v>
      </c>
      <c r="G282" s="7">
        <v>382.26</v>
      </c>
      <c r="H282" s="6">
        <v>34.27</v>
      </c>
      <c r="I282" s="8">
        <f t="shared" si="1"/>
        <v>2261.335482</v>
      </c>
      <c r="J282" s="8">
        <f t="shared" si="2"/>
        <v>1781.46</v>
      </c>
      <c r="K282" s="8">
        <f t="shared" si="3"/>
        <v>479.875482</v>
      </c>
      <c r="L282" s="9">
        <f t="shared" si="4"/>
        <v>0.2122088853</v>
      </c>
    </row>
    <row r="283" ht="22.5" customHeight="1">
      <c r="A283" s="4" t="s">
        <v>59</v>
      </c>
      <c r="B283" s="5">
        <v>45165.0</v>
      </c>
      <c r="C283" s="4" t="s">
        <v>13</v>
      </c>
      <c r="D283" s="4" t="s">
        <v>14</v>
      </c>
      <c r="E283" s="6">
        <v>83.0</v>
      </c>
      <c r="F283" s="7">
        <v>134.59</v>
      </c>
      <c r="G283" s="7">
        <v>174.12</v>
      </c>
      <c r="H283" s="6">
        <v>2.3</v>
      </c>
      <c r="I283" s="8">
        <f t="shared" si="1"/>
        <v>14119.56492</v>
      </c>
      <c r="J283" s="8">
        <f t="shared" si="2"/>
        <v>11170.97</v>
      </c>
      <c r="K283" s="8">
        <f t="shared" si="3"/>
        <v>2948.59492</v>
      </c>
      <c r="L283" s="9">
        <f t="shared" si="4"/>
        <v>0.2088304375</v>
      </c>
    </row>
    <row r="284" ht="22.5" customHeight="1">
      <c r="A284" s="4" t="s">
        <v>260</v>
      </c>
      <c r="B284" s="5">
        <v>45049.0</v>
      </c>
      <c r="C284" s="4" t="s">
        <v>13</v>
      </c>
      <c r="D284" s="4" t="s">
        <v>22</v>
      </c>
      <c r="E284" s="6">
        <v>90.0</v>
      </c>
      <c r="F284" s="7">
        <v>393.96</v>
      </c>
      <c r="G284" s="7">
        <v>500.72</v>
      </c>
      <c r="H284" s="6">
        <v>0.65</v>
      </c>
      <c r="I284" s="8">
        <f t="shared" si="1"/>
        <v>44771.8788</v>
      </c>
      <c r="J284" s="8">
        <f t="shared" si="2"/>
        <v>35456.4</v>
      </c>
      <c r="K284" s="8">
        <f t="shared" si="3"/>
        <v>9315.4788</v>
      </c>
      <c r="L284" s="9">
        <f t="shared" si="4"/>
        <v>0.2080653984</v>
      </c>
    </row>
    <row r="285" ht="22.5" customHeight="1">
      <c r="A285" s="4" t="s">
        <v>261</v>
      </c>
      <c r="B285" s="5">
        <v>45128.0</v>
      </c>
      <c r="C285" s="4" t="s">
        <v>24</v>
      </c>
      <c r="D285" s="4" t="s">
        <v>19</v>
      </c>
      <c r="E285" s="6">
        <v>23.0</v>
      </c>
      <c r="F285" s="7">
        <v>56.94</v>
      </c>
      <c r="G285" s="7">
        <v>83.2</v>
      </c>
      <c r="H285" s="6">
        <v>13.87</v>
      </c>
      <c r="I285" s="8">
        <f t="shared" si="1"/>
        <v>1648.18368</v>
      </c>
      <c r="J285" s="8">
        <f t="shared" si="2"/>
        <v>1309.62</v>
      </c>
      <c r="K285" s="8">
        <f t="shared" si="3"/>
        <v>338.56368</v>
      </c>
      <c r="L285" s="9">
        <f t="shared" si="4"/>
        <v>0.2054162313</v>
      </c>
    </row>
    <row r="286" ht="22.5" customHeight="1">
      <c r="A286" s="4" t="s">
        <v>262</v>
      </c>
      <c r="B286" s="5">
        <v>45095.0</v>
      </c>
      <c r="C286" s="4" t="s">
        <v>21</v>
      </c>
      <c r="D286" s="4" t="s">
        <v>17</v>
      </c>
      <c r="E286" s="6">
        <v>79.0</v>
      </c>
      <c r="F286" s="7">
        <v>356.09</v>
      </c>
      <c r="G286" s="7">
        <v>539.41</v>
      </c>
      <c r="H286" s="6">
        <v>16.95</v>
      </c>
      <c r="I286" s="8">
        <f t="shared" si="1"/>
        <v>35390.4204</v>
      </c>
      <c r="J286" s="8">
        <f t="shared" si="2"/>
        <v>28131.11</v>
      </c>
      <c r="K286" s="8">
        <f t="shared" si="3"/>
        <v>7259.310395</v>
      </c>
      <c r="L286" s="9">
        <f t="shared" si="4"/>
        <v>0.2051207732</v>
      </c>
    </row>
    <row r="287" ht="22.5" customHeight="1">
      <c r="A287" s="4" t="s">
        <v>188</v>
      </c>
      <c r="B287" s="5">
        <v>45074.0</v>
      </c>
      <c r="C287" s="4" t="s">
        <v>16</v>
      </c>
      <c r="D287" s="4" t="s">
        <v>17</v>
      </c>
      <c r="E287" s="6">
        <v>62.0</v>
      </c>
      <c r="F287" s="7">
        <v>249.8</v>
      </c>
      <c r="G287" s="7">
        <v>456.94</v>
      </c>
      <c r="H287" s="6">
        <v>31.51</v>
      </c>
      <c r="I287" s="8">
        <f t="shared" si="1"/>
        <v>19403.40877</v>
      </c>
      <c r="J287" s="8">
        <f t="shared" si="2"/>
        <v>15487.6</v>
      </c>
      <c r="K287" s="8">
        <f t="shared" si="3"/>
        <v>3915.808772</v>
      </c>
      <c r="L287" s="9">
        <f t="shared" si="4"/>
        <v>0.2018103529</v>
      </c>
    </row>
    <row r="288" ht="22.5" customHeight="1">
      <c r="A288" s="4" t="s">
        <v>263</v>
      </c>
      <c r="B288" s="5">
        <v>45290.0</v>
      </c>
      <c r="C288" s="4" t="s">
        <v>13</v>
      </c>
      <c r="D288" s="4" t="s">
        <v>19</v>
      </c>
      <c r="E288" s="6">
        <v>46.0</v>
      </c>
      <c r="F288" s="7">
        <v>445.37</v>
      </c>
      <c r="G288" s="7">
        <v>580.51</v>
      </c>
      <c r="H288" s="6">
        <v>4.16</v>
      </c>
      <c r="I288" s="8">
        <f t="shared" si="1"/>
        <v>25592.59606</v>
      </c>
      <c r="J288" s="8">
        <f t="shared" si="2"/>
        <v>20487.02</v>
      </c>
      <c r="K288" s="8">
        <f t="shared" si="3"/>
        <v>5105.576064</v>
      </c>
      <c r="L288" s="9">
        <f t="shared" si="4"/>
        <v>0.199494262</v>
      </c>
    </row>
    <row r="289" ht="22.5" customHeight="1">
      <c r="A289" s="4" t="s">
        <v>264</v>
      </c>
      <c r="B289" s="5">
        <v>45066.0</v>
      </c>
      <c r="C289" s="4" t="s">
        <v>21</v>
      </c>
      <c r="D289" s="4" t="s">
        <v>22</v>
      </c>
      <c r="E289" s="6">
        <v>87.0</v>
      </c>
      <c r="F289" s="7">
        <v>428.13</v>
      </c>
      <c r="G289" s="7">
        <v>947.55</v>
      </c>
      <c r="H289" s="6">
        <v>43.71</v>
      </c>
      <c r="I289" s="8">
        <f t="shared" si="1"/>
        <v>46403.70287</v>
      </c>
      <c r="J289" s="8">
        <f t="shared" si="2"/>
        <v>37247.31</v>
      </c>
      <c r="K289" s="8">
        <f t="shared" si="3"/>
        <v>9156.392865</v>
      </c>
      <c r="L289" s="9">
        <f t="shared" si="4"/>
        <v>0.1973203063</v>
      </c>
    </row>
    <row r="290" ht="22.5" customHeight="1">
      <c r="A290" s="4" t="s">
        <v>265</v>
      </c>
      <c r="B290" s="5">
        <v>45222.0</v>
      </c>
      <c r="C290" s="4" t="s">
        <v>16</v>
      </c>
      <c r="D290" s="4" t="s">
        <v>14</v>
      </c>
      <c r="E290" s="6">
        <v>85.0</v>
      </c>
      <c r="F290" s="7">
        <v>428.78</v>
      </c>
      <c r="G290" s="7">
        <v>629.83</v>
      </c>
      <c r="H290" s="6">
        <v>16.4</v>
      </c>
      <c r="I290" s="8">
        <f t="shared" si="1"/>
        <v>44755.7198</v>
      </c>
      <c r="J290" s="8">
        <f t="shared" si="2"/>
        <v>36446.3</v>
      </c>
      <c r="K290" s="8">
        <f t="shared" si="3"/>
        <v>8309.4198</v>
      </c>
      <c r="L290" s="9">
        <f t="shared" si="4"/>
        <v>0.185661628</v>
      </c>
    </row>
    <row r="291" ht="22.5" customHeight="1">
      <c r="A291" s="4" t="s">
        <v>266</v>
      </c>
      <c r="B291" s="5">
        <v>45264.0</v>
      </c>
      <c r="C291" s="4" t="s">
        <v>13</v>
      </c>
      <c r="D291" s="4" t="s">
        <v>17</v>
      </c>
      <c r="E291" s="6">
        <v>85.0</v>
      </c>
      <c r="F291" s="7">
        <v>443.56</v>
      </c>
      <c r="G291" s="7">
        <v>715.4</v>
      </c>
      <c r="H291" s="6">
        <v>23.96</v>
      </c>
      <c r="I291" s="8">
        <f t="shared" si="1"/>
        <v>46239.1636</v>
      </c>
      <c r="J291" s="8">
        <f t="shared" si="2"/>
        <v>37702.6</v>
      </c>
      <c r="K291" s="8">
        <f t="shared" si="3"/>
        <v>8536.5636</v>
      </c>
      <c r="L291" s="9">
        <f t="shared" si="4"/>
        <v>0.1846176041</v>
      </c>
    </row>
    <row r="292" ht="22.5" customHeight="1">
      <c r="A292" s="4" t="s">
        <v>267</v>
      </c>
      <c r="B292" s="5">
        <v>44937.0</v>
      </c>
      <c r="C292" s="4" t="s">
        <v>16</v>
      </c>
      <c r="D292" s="4" t="s">
        <v>14</v>
      </c>
      <c r="E292" s="6">
        <v>94.0</v>
      </c>
      <c r="F292" s="7">
        <v>488.9</v>
      </c>
      <c r="G292" s="7">
        <v>611.13</v>
      </c>
      <c r="H292" s="6">
        <v>2.45</v>
      </c>
      <c r="I292" s="8">
        <f t="shared" si="1"/>
        <v>56038.78761</v>
      </c>
      <c r="J292" s="8">
        <f t="shared" si="2"/>
        <v>45956.6</v>
      </c>
      <c r="K292" s="8">
        <f t="shared" si="3"/>
        <v>10082.18761</v>
      </c>
      <c r="L292" s="9">
        <f t="shared" si="4"/>
        <v>0.1799144493</v>
      </c>
    </row>
    <row r="293" ht="22.5" customHeight="1">
      <c r="A293" s="4" t="s">
        <v>178</v>
      </c>
      <c r="B293" s="5">
        <v>45236.0</v>
      </c>
      <c r="C293" s="4" t="s">
        <v>13</v>
      </c>
      <c r="D293" s="4" t="s">
        <v>19</v>
      </c>
      <c r="E293" s="6">
        <v>57.0</v>
      </c>
      <c r="F293" s="7">
        <v>451.69</v>
      </c>
      <c r="G293" s="7">
        <v>771.65</v>
      </c>
      <c r="H293" s="6">
        <v>29.04</v>
      </c>
      <c r="I293" s="8">
        <f t="shared" si="1"/>
        <v>31211.08188</v>
      </c>
      <c r="J293" s="8">
        <f t="shared" si="2"/>
        <v>25746.33</v>
      </c>
      <c r="K293" s="8">
        <f t="shared" si="3"/>
        <v>5464.75188</v>
      </c>
      <c r="L293" s="9">
        <f t="shared" si="4"/>
        <v>0.1750901139</v>
      </c>
    </row>
    <row r="294" ht="22.5" customHeight="1">
      <c r="A294" s="4" t="s">
        <v>268</v>
      </c>
      <c r="B294" s="5">
        <v>45105.0</v>
      </c>
      <c r="C294" s="4" t="s">
        <v>16</v>
      </c>
      <c r="D294" s="4" t="s">
        <v>22</v>
      </c>
      <c r="E294" s="6">
        <v>81.0</v>
      </c>
      <c r="F294" s="7">
        <v>355.05</v>
      </c>
      <c r="G294" s="7">
        <v>664.38</v>
      </c>
      <c r="H294" s="6">
        <v>35.41</v>
      </c>
      <c r="I294" s="8">
        <f t="shared" si="1"/>
        <v>34758.9664</v>
      </c>
      <c r="J294" s="8">
        <f t="shared" si="2"/>
        <v>28759.05</v>
      </c>
      <c r="K294" s="8">
        <f t="shared" si="3"/>
        <v>5999.916402</v>
      </c>
      <c r="L294" s="9">
        <f t="shared" si="4"/>
        <v>0.1726149257</v>
      </c>
    </row>
    <row r="295" ht="22.5" customHeight="1">
      <c r="A295" s="4" t="s">
        <v>269</v>
      </c>
      <c r="B295" s="5">
        <v>45153.0</v>
      </c>
      <c r="C295" s="4" t="s">
        <v>21</v>
      </c>
      <c r="D295" s="4" t="s">
        <v>17</v>
      </c>
      <c r="E295" s="6">
        <v>92.0</v>
      </c>
      <c r="F295" s="7">
        <v>130.98</v>
      </c>
      <c r="G295" s="7">
        <v>198.7</v>
      </c>
      <c r="H295" s="6">
        <v>20.38</v>
      </c>
      <c r="I295" s="8">
        <f t="shared" si="1"/>
        <v>14554.85448</v>
      </c>
      <c r="J295" s="8">
        <f t="shared" si="2"/>
        <v>12050.16</v>
      </c>
      <c r="K295" s="8">
        <f t="shared" si="3"/>
        <v>2504.69448</v>
      </c>
      <c r="L295" s="9">
        <f t="shared" si="4"/>
        <v>0.1720865354</v>
      </c>
    </row>
    <row r="296" ht="22.5" customHeight="1">
      <c r="A296" s="4" t="s">
        <v>270</v>
      </c>
      <c r="B296" s="5">
        <v>45028.0</v>
      </c>
      <c r="C296" s="4" t="s">
        <v>21</v>
      </c>
      <c r="D296" s="4" t="s">
        <v>14</v>
      </c>
      <c r="E296" s="6">
        <v>65.0</v>
      </c>
      <c r="F296" s="7">
        <v>406.63</v>
      </c>
      <c r="G296" s="7">
        <v>548.99</v>
      </c>
      <c r="H296" s="6">
        <v>11.43</v>
      </c>
      <c r="I296" s="8">
        <f t="shared" si="1"/>
        <v>31605.6288</v>
      </c>
      <c r="J296" s="8">
        <f t="shared" si="2"/>
        <v>26430.95</v>
      </c>
      <c r="K296" s="8">
        <f t="shared" si="3"/>
        <v>5174.678795</v>
      </c>
      <c r="L296" s="9">
        <f t="shared" si="4"/>
        <v>0.1637264941</v>
      </c>
    </row>
    <row r="297" ht="22.5" customHeight="1">
      <c r="A297" s="4" t="s">
        <v>181</v>
      </c>
      <c r="B297" s="5">
        <v>45168.0</v>
      </c>
      <c r="C297" s="4" t="s">
        <v>13</v>
      </c>
      <c r="D297" s="4" t="s">
        <v>14</v>
      </c>
      <c r="E297" s="6">
        <v>91.0</v>
      </c>
      <c r="F297" s="7">
        <v>481.14</v>
      </c>
      <c r="G297" s="7">
        <v>613.84</v>
      </c>
      <c r="H297" s="6">
        <v>7.14</v>
      </c>
      <c r="I297" s="8">
        <f t="shared" si="1"/>
        <v>51871.07598</v>
      </c>
      <c r="J297" s="8">
        <f t="shared" si="2"/>
        <v>43783.74</v>
      </c>
      <c r="K297" s="8">
        <f t="shared" si="3"/>
        <v>8087.335984</v>
      </c>
      <c r="L297" s="9">
        <f t="shared" si="4"/>
        <v>0.1559122465</v>
      </c>
    </row>
    <row r="298" ht="22.5" customHeight="1">
      <c r="A298" s="4" t="s">
        <v>271</v>
      </c>
      <c r="B298" s="5">
        <v>44992.0</v>
      </c>
      <c r="C298" s="4" t="s">
        <v>29</v>
      </c>
      <c r="D298" s="4" t="s">
        <v>14</v>
      </c>
      <c r="E298" s="6">
        <v>55.0</v>
      </c>
      <c r="F298" s="7">
        <v>402.13</v>
      </c>
      <c r="G298" s="7">
        <v>795.85</v>
      </c>
      <c r="H298" s="6">
        <v>40.4</v>
      </c>
      <c r="I298" s="8">
        <f t="shared" si="1"/>
        <v>26087.963</v>
      </c>
      <c r="J298" s="8">
        <f t="shared" si="2"/>
        <v>22117.15</v>
      </c>
      <c r="K298" s="8">
        <f t="shared" si="3"/>
        <v>3970.813</v>
      </c>
      <c r="L298" s="9">
        <f t="shared" si="4"/>
        <v>0.1522086259</v>
      </c>
    </row>
    <row r="299" ht="22.5" customHeight="1">
      <c r="A299" s="4" t="s">
        <v>248</v>
      </c>
      <c r="B299" s="5">
        <v>45129.0</v>
      </c>
      <c r="C299" s="4" t="s">
        <v>29</v>
      </c>
      <c r="D299" s="4" t="s">
        <v>17</v>
      </c>
      <c r="E299" s="6">
        <v>62.0</v>
      </c>
      <c r="F299" s="7">
        <v>452.75</v>
      </c>
      <c r="G299" s="7">
        <v>717.02</v>
      </c>
      <c r="H299" s="6">
        <v>25.64</v>
      </c>
      <c r="I299" s="8">
        <f t="shared" si="1"/>
        <v>33056.91646</v>
      </c>
      <c r="J299" s="8">
        <f t="shared" si="2"/>
        <v>28070.5</v>
      </c>
      <c r="K299" s="8">
        <f t="shared" si="3"/>
        <v>4986.416464</v>
      </c>
      <c r="L299" s="9">
        <f t="shared" si="4"/>
        <v>0.1508433634</v>
      </c>
    </row>
    <row r="300" ht="22.5" customHeight="1">
      <c r="A300" s="4" t="s">
        <v>272</v>
      </c>
      <c r="B300" s="5">
        <v>45168.0</v>
      </c>
      <c r="C300" s="4" t="s">
        <v>16</v>
      </c>
      <c r="D300" s="4" t="s">
        <v>14</v>
      </c>
      <c r="E300" s="6">
        <v>4.0</v>
      </c>
      <c r="F300" s="7">
        <v>408.0</v>
      </c>
      <c r="G300" s="7">
        <v>628.39</v>
      </c>
      <c r="H300" s="6">
        <v>24.05</v>
      </c>
      <c r="I300" s="8">
        <f t="shared" si="1"/>
        <v>1909.04882</v>
      </c>
      <c r="J300" s="8">
        <f t="shared" si="2"/>
        <v>1632</v>
      </c>
      <c r="K300" s="8">
        <f t="shared" si="3"/>
        <v>277.04882</v>
      </c>
      <c r="L300" s="9">
        <f t="shared" si="4"/>
        <v>0.14512401</v>
      </c>
    </row>
    <row r="301" ht="22.5" customHeight="1">
      <c r="A301" s="4" t="s">
        <v>273</v>
      </c>
      <c r="B301" s="5">
        <v>44984.0</v>
      </c>
      <c r="C301" s="4" t="s">
        <v>16</v>
      </c>
      <c r="D301" s="4" t="s">
        <v>19</v>
      </c>
      <c r="E301" s="6">
        <v>17.0</v>
      </c>
      <c r="F301" s="7">
        <v>475.11</v>
      </c>
      <c r="G301" s="7">
        <v>951.13</v>
      </c>
      <c r="H301" s="6">
        <v>42.02</v>
      </c>
      <c r="I301" s="8">
        <f t="shared" si="1"/>
        <v>9374.907958</v>
      </c>
      <c r="J301" s="8">
        <f t="shared" si="2"/>
        <v>8076.87</v>
      </c>
      <c r="K301" s="8">
        <f t="shared" si="3"/>
        <v>1298.037958</v>
      </c>
      <c r="L301" s="9">
        <f t="shared" si="4"/>
        <v>0.1384587415</v>
      </c>
    </row>
    <row r="302" ht="22.5" customHeight="1">
      <c r="A302" s="4" t="s">
        <v>130</v>
      </c>
      <c r="B302" s="5">
        <v>45265.0</v>
      </c>
      <c r="C302" s="4" t="s">
        <v>29</v>
      </c>
      <c r="D302" s="4" t="s">
        <v>17</v>
      </c>
      <c r="E302" s="6">
        <v>77.0</v>
      </c>
      <c r="F302" s="7">
        <v>236.85</v>
      </c>
      <c r="G302" s="7">
        <v>515.22</v>
      </c>
      <c r="H302" s="6">
        <v>47.01</v>
      </c>
      <c r="I302" s="8">
        <f t="shared" si="1"/>
        <v>21022.16101</v>
      </c>
      <c r="J302" s="8">
        <f t="shared" si="2"/>
        <v>18237.45</v>
      </c>
      <c r="K302" s="8">
        <f t="shared" si="3"/>
        <v>2784.711006</v>
      </c>
      <c r="L302" s="9">
        <f t="shared" si="4"/>
        <v>0.132465497</v>
      </c>
    </row>
    <row r="303" ht="22.5" customHeight="1">
      <c r="A303" s="4" t="s">
        <v>274</v>
      </c>
      <c r="B303" s="5">
        <v>45229.0</v>
      </c>
      <c r="C303" s="4" t="s">
        <v>21</v>
      </c>
      <c r="D303" s="4" t="s">
        <v>19</v>
      </c>
      <c r="E303" s="6">
        <v>86.0</v>
      </c>
      <c r="F303" s="7">
        <v>369.84</v>
      </c>
      <c r="G303" s="7">
        <v>776.8</v>
      </c>
      <c r="H303" s="6">
        <v>45.63</v>
      </c>
      <c r="I303" s="8">
        <f t="shared" si="1"/>
        <v>36321.76976</v>
      </c>
      <c r="J303" s="8">
        <f t="shared" si="2"/>
        <v>31806.24</v>
      </c>
      <c r="K303" s="8">
        <f t="shared" si="3"/>
        <v>4515.52976</v>
      </c>
      <c r="L303" s="9">
        <f t="shared" si="4"/>
        <v>0.1243202022</v>
      </c>
    </row>
    <row r="304" ht="22.5" customHeight="1">
      <c r="A304" s="4" t="s">
        <v>275</v>
      </c>
      <c r="B304" s="5">
        <v>45223.0</v>
      </c>
      <c r="C304" s="4" t="s">
        <v>13</v>
      </c>
      <c r="D304" s="4" t="s">
        <v>22</v>
      </c>
      <c r="E304" s="6">
        <v>75.0</v>
      </c>
      <c r="F304" s="7">
        <v>196.05</v>
      </c>
      <c r="G304" s="7">
        <v>401.9</v>
      </c>
      <c r="H304" s="6">
        <v>44.45</v>
      </c>
      <c r="I304" s="8">
        <f t="shared" si="1"/>
        <v>16744.15875</v>
      </c>
      <c r="J304" s="8">
        <f t="shared" si="2"/>
        <v>14703.75</v>
      </c>
      <c r="K304" s="8">
        <f t="shared" si="3"/>
        <v>2040.40875</v>
      </c>
      <c r="L304" s="9">
        <f t="shared" si="4"/>
        <v>0.1218579434</v>
      </c>
    </row>
    <row r="305" ht="22.5" customHeight="1">
      <c r="A305" s="4" t="s">
        <v>252</v>
      </c>
      <c r="B305" s="5">
        <v>45126.0</v>
      </c>
      <c r="C305" s="4" t="s">
        <v>13</v>
      </c>
      <c r="D305" s="4" t="s">
        <v>14</v>
      </c>
      <c r="E305" s="6">
        <v>93.0</v>
      </c>
      <c r="F305" s="7">
        <v>318.98</v>
      </c>
      <c r="G305" s="7">
        <v>430.21</v>
      </c>
      <c r="H305" s="6">
        <v>15.65</v>
      </c>
      <c r="I305" s="8">
        <f t="shared" si="1"/>
        <v>33748.03856</v>
      </c>
      <c r="J305" s="8">
        <f t="shared" si="2"/>
        <v>29665.14</v>
      </c>
      <c r="K305" s="8">
        <f t="shared" si="3"/>
        <v>4082.898555</v>
      </c>
      <c r="L305" s="9">
        <f t="shared" si="4"/>
        <v>0.1209818031</v>
      </c>
    </row>
    <row r="306" ht="22.5" customHeight="1">
      <c r="A306" s="4" t="s">
        <v>276</v>
      </c>
      <c r="B306" s="5">
        <v>45171.0</v>
      </c>
      <c r="C306" s="4" t="s">
        <v>13</v>
      </c>
      <c r="D306" s="4" t="s">
        <v>19</v>
      </c>
      <c r="E306" s="6">
        <v>51.0</v>
      </c>
      <c r="F306" s="7">
        <v>426.2</v>
      </c>
      <c r="G306" s="7">
        <v>845.92</v>
      </c>
      <c r="H306" s="6">
        <v>43.16</v>
      </c>
      <c r="I306" s="8">
        <f t="shared" si="1"/>
        <v>24521.86733</v>
      </c>
      <c r="J306" s="8">
        <f t="shared" si="2"/>
        <v>21736.2</v>
      </c>
      <c r="K306" s="8">
        <f t="shared" si="3"/>
        <v>2785.667328</v>
      </c>
      <c r="L306" s="9">
        <f t="shared" si="4"/>
        <v>0.1135993149</v>
      </c>
    </row>
    <row r="307" ht="22.5" customHeight="1">
      <c r="A307" s="4" t="s">
        <v>277</v>
      </c>
      <c r="B307" s="5">
        <v>45000.0</v>
      </c>
      <c r="C307" s="4" t="s">
        <v>13</v>
      </c>
      <c r="D307" s="4" t="s">
        <v>17</v>
      </c>
      <c r="E307" s="6">
        <v>38.0</v>
      </c>
      <c r="F307" s="7">
        <v>432.28</v>
      </c>
      <c r="G307" s="7">
        <v>818.52</v>
      </c>
      <c r="H307" s="6">
        <v>40.92</v>
      </c>
      <c r="I307" s="8">
        <f t="shared" si="1"/>
        <v>18376.10141</v>
      </c>
      <c r="J307" s="8">
        <f t="shared" si="2"/>
        <v>16426.64</v>
      </c>
      <c r="K307" s="8">
        <f t="shared" si="3"/>
        <v>1949.461408</v>
      </c>
      <c r="L307" s="9">
        <f t="shared" si="4"/>
        <v>0.1060867789</v>
      </c>
    </row>
    <row r="308" ht="22.5" customHeight="1">
      <c r="A308" s="4" t="s">
        <v>278</v>
      </c>
      <c r="B308" s="5">
        <v>45108.0</v>
      </c>
      <c r="C308" s="4" t="s">
        <v>16</v>
      </c>
      <c r="D308" s="4" t="s">
        <v>17</v>
      </c>
      <c r="E308" s="6">
        <v>98.0</v>
      </c>
      <c r="F308" s="7">
        <v>315.53</v>
      </c>
      <c r="G308" s="7">
        <v>480.56</v>
      </c>
      <c r="H308" s="6">
        <v>27.42</v>
      </c>
      <c r="I308" s="8">
        <f t="shared" si="1"/>
        <v>34181.4639</v>
      </c>
      <c r="J308" s="8">
        <f t="shared" si="2"/>
        <v>30921.94</v>
      </c>
      <c r="K308" s="8">
        <f t="shared" si="3"/>
        <v>3259.523904</v>
      </c>
      <c r="L308" s="9">
        <f t="shared" si="4"/>
        <v>0.09535940044</v>
      </c>
    </row>
    <row r="309" ht="22.5" customHeight="1">
      <c r="A309" s="4" t="s">
        <v>279</v>
      </c>
      <c r="B309" s="5">
        <v>45025.0</v>
      </c>
      <c r="C309" s="4" t="s">
        <v>21</v>
      </c>
      <c r="D309" s="4" t="s">
        <v>19</v>
      </c>
      <c r="E309" s="6">
        <v>50.0</v>
      </c>
      <c r="F309" s="7">
        <v>464.29</v>
      </c>
      <c r="G309" s="7">
        <v>554.79</v>
      </c>
      <c r="H309" s="6">
        <v>7.53</v>
      </c>
      <c r="I309" s="8">
        <f t="shared" si="1"/>
        <v>25650.71565</v>
      </c>
      <c r="J309" s="8">
        <f t="shared" si="2"/>
        <v>23214.5</v>
      </c>
      <c r="K309" s="8">
        <f t="shared" si="3"/>
        <v>2436.21565</v>
      </c>
      <c r="L309" s="9">
        <f t="shared" si="4"/>
        <v>0.09497651774</v>
      </c>
    </row>
    <row r="310" ht="22.5" customHeight="1">
      <c r="A310" s="4" t="s">
        <v>280</v>
      </c>
      <c r="B310" s="5">
        <v>45080.0</v>
      </c>
      <c r="C310" s="4" t="s">
        <v>16</v>
      </c>
      <c r="D310" s="4" t="s">
        <v>14</v>
      </c>
      <c r="E310" s="6">
        <v>49.0</v>
      </c>
      <c r="F310" s="7">
        <v>322.15</v>
      </c>
      <c r="G310" s="7">
        <v>532.32</v>
      </c>
      <c r="H310" s="6">
        <v>33.37</v>
      </c>
      <c r="I310" s="8">
        <f t="shared" si="1"/>
        <v>17379.55598</v>
      </c>
      <c r="J310" s="8">
        <f t="shared" si="2"/>
        <v>15785.35</v>
      </c>
      <c r="K310" s="8">
        <f t="shared" si="3"/>
        <v>1594.205984</v>
      </c>
      <c r="L310" s="9">
        <f t="shared" si="4"/>
        <v>0.09172880973</v>
      </c>
    </row>
    <row r="311" ht="22.5" customHeight="1">
      <c r="A311" s="4" t="s">
        <v>281</v>
      </c>
      <c r="B311" s="5">
        <v>44941.0</v>
      </c>
      <c r="C311" s="4" t="s">
        <v>29</v>
      </c>
      <c r="D311" s="4" t="s">
        <v>19</v>
      </c>
      <c r="E311" s="6">
        <v>31.0</v>
      </c>
      <c r="F311" s="7">
        <v>384.77</v>
      </c>
      <c r="G311" s="7">
        <v>484.16</v>
      </c>
      <c r="H311" s="6">
        <v>13.57</v>
      </c>
      <c r="I311" s="8">
        <f t="shared" si="1"/>
        <v>12972.24413</v>
      </c>
      <c r="J311" s="8">
        <f t="shared" si="2"/>
        <v>11927.87</v>
      </c>
      <c r="K311" s="8">
        <f t="shared" si="3"/>
        <v>1044.374128</v>
      </c>
      <c r="L311" s="9">
        <f t="shared" si="4"/>
        <v>0.08050836214</v>
      </c>
    </row>
    <row r="312" ht="22.5" customHeight="1">
      <c r="A312" s="4" t="s">
        <v>282</v>
      </c>
      <c r="B312" s="5">
        <v>45193.0</v>
      </c>
      <c r="C312" s="4" t="s">
        <v>29</v>
      </c>
      <c r="D312" s="4" t="s">
        <v>17</v>
      </c>
      <c r="E312" s="6">
        <v>47.0</v>
      </c>
      <c r="F312" s="7">
        <v>471.78</v>
      </c>
      <c r="G312" s="7">
        <v>917.21</v>
      </c>
      <c r="H312" s="6">
        <v>45.1</v>
      </c>
      <c r="I312" s="8">
        <f t="shared" si="1"/>
        <v>23666.76963</v>
      </c>
      <c r="J312" s="8">
        <f t="shared" si="2"/>
        <v>22173.66</v>
      </c>
      <c r="K312" s="8">
        <f t="shared" si="3"/>
        <v>1493.10963</v>
      </c>
      <c r="L312" s="9">
        <f t="shared" si="4"/>
        <v>0.06308886482</v>
      </c>
    </row>
    <row r="313" ht="22.5" customHeight="1">
      <c r="A313" s="4" t="s">
        <v>283</v>
      </c>
      <c r="B313" s="5">
        <v>45156.0</v>
      </c>
      <c r="C313" s="4" t="s">
        <v>21</v>
      </c>
      <c r="D313" s="4" t="s">
        <v>22</v>
      </c>
      <c r="E313" s="6">
        <v>80.0</v>
      </c>
      <c r="F313" s="7">
        <v>190.07</v>
      </c>
      <c r="G313" s="7">
        <v>231.88</v>
      </c>
      <c r="H313" s="6">
        <v>12.82</v>
      </c>
      <c r="I313" s="8">
        <f t="shared" si="1"/>
        <v>16172.23872</v>
      </c>
      <c r="J313" s="8">
        <f t="shared" si="2"/>
        <v>15205.6</v>
      </c>
      <c r="K313" s="8">
        <f t="shared" si="3"/>
        <v>966.63872</v>
      </c>
      <c r="L313" s="9">
        <f t="shared" si="4"/>
        <v>0.05977148475</v>
      </c>
    </row>
    <row r="314" ht="22.5" customHeight="1">
      <c r="A314" s="4" t="s">
        <v>284</v>
      </c>
      <c r="B314" s="5">
        <v>45144.0</v>
      </c>
      <c r="C314" s="4" t="s">
        <v>13</v>
      </c>
      <c r="D314" s="4" t="s">
        <v>17</v>
      </c>
      <c r="E314" s="6">
        <v>32.0</v>
      </c>
      <c r="F314" s="7">
        <v>297.41</v>
      </c>
      <c r="G314" s="7">
        <v>586.37</v>
      </c>
      <c r="H314" s="6">
        <v>46.13</v>
      </c>
      <c r="I314" s="8">
        <f t="shared" si="1"/>
        <v>10108.08061</v>
      </c>
      <c r="J314" s="8">
        <f t="shared" si="2"/>
        <v>9517.12</v>
      </c>
      <c r="K314" s="8">
        <f t="shared" si="3"/>
        <v>590.960608</v>
      </c>
      <c r="L314" s="9">
        <f t="shared" si="4"/>
        <v>0.05846417643</v>
      </c>
    </row>
    <row r="315" ht="22.5" customHeight="1">
      <c r="A315" s="4" t="s">
        <v>25</v>
      </c>
      <c r="B315" s="5">
        <v>45042.0</v>
      </c>
      <c r="C315" s="4" t="s">
        <v>29</v>
      </c>
      <c r="D315" s="4" t="s">
        <v>19</v>
      </c>
      <c r="E315" s="6">
        <v>31.0</v>
      </c>
      <c r="F315" s="7">
        <v>159.23</v>
      </c>
      <c r="G315" s="7">
        <v>299.05</v>
      </c>
      <c r="H315" s="6">
        <v>43.88</v>
      </c>
      <c r="I315" s="8">
        <f t="shared" si="1"/>
        <v>5202.63266</v>
      </c>
      <c r="J315" s="8">
        <f t="shared" si="2"/>
        <v>4936.13</v>
      </c>
      <c r="K315" s="8">
        <f t="shared" si="3"/>
        <v>266.50266</v>
      </c>
      <c r="L315" s="9">
        <f t="shared" si="4"/>
        <v>0.05122457752</v>
      </c>
    </row>
    <row r="316" ht="22.5" customHeight="1">
      <c r="A316" s="4" t="s">
        <v>285</v>
      </c>
      <c r="B316" s="5">
        <v>45270.0</v>
      </c>
      <c r="C316" s="4" t="s">
        <v>29</v>
      </c>
      <c r="D316" s="4" t="s">
        <v>22</v>
      </c>
      <c r="E316" s="6">
        <v>15.0</v>
      </c>
      <c r="F316" s="7">
        <v>250.99</v>
      </c>
      <c r="G316" s="7">
        <v>458.78</v>
      </c>
      <c r="H316" s="6">
        <v>42.66</v>
      </c>
      <c r="I316" s="8">
        <f t="shared" si="1"/>
        <v>3945.96678</v>
      </c>
      <c r="J316" s="8">
        <f t="shared" si="2"/>
        <v>3764.85</v>
      </c>
      <c r="K316" s="8">
        <f t="shared" si="3"/>
        <v>181.11678</v>
      </c>
      <c r="L316" s="9">
        <f t="shared" si="4"/>
        <v>0.0458992156</v>
      </c>
    </row>
    <row r="317" ht="22.5" customHeight="1">
      <c r="A317" s="4" t="s">
        <v>286</v>
      </c>
      <c r="B317" s="5">
        <v>45126.0</v>
      </c>
      <c r="C317" s="4" t="s">
        <v>13</v>
      </c>
      <c r="D317" s="4" t="s">
        <v>19</v>
      </c>
      <c r="E317" s="6">
        <v>56.0</v>
      </c>
      <c r="F317" s="7">
        <v>455.28</v>
      </c>
      <c r="G317" s="7">
        <v>621.67</v>
      </c>
      <c r="H317" s="6">
        <v>23.52</v>
      </c>
      <c r="I317" s="8">
        <f t="shared" si="1"/>
        <v>26625.3801</v>
      </c>
      <c r="J317" s="8">
        <f t="shared" si="2"/>
        <v>25495.68</v>
      </c>
      <c r="K317" s="8">
        <f t="shared" si="3"/>
        <v>1129.700096</v>
      </c>
      <c r="L317" s="9">
        <f t="shared" si="4"/>
        <v>0.04242944484</v>
      </c>
    </row>
    <row r="318" ht="22.5" customHeight="1">
      <c r="A318" s="4" t="s">
        <v>287</v>
      </c>
      <c r="B318" s="5">
        <v>44951.0</v>
      </c>
      <c r="C318" s="4" t="s">
        <v>16</v>
      </c>
      <c r="D318" s="4" t="s">
        <v>17</v>
      </c>
      <c r="E318" s="6">
        <v>89.0</v>
      </c>
      <c r="F318" s="7">
        <v>452.53</v>
      </c>
      <c r="G318" s="7">
        <v>502.7</v>
      </c>
      <c r="H318" s="6">
        <v>6.08</v>
      </c>
      <c r="I318" s="8">
        <f t="shared" si="1"/>
        <v>42020.08976</v>
      </c>
      <c r="J318" s="8">
        <f t="shared" si="2"/>
        <v>40275.17</v>
      </c>
      <c r="K318" s="8">
        <f t="shared" si="3"/>
        <v>1744.91976</v>
      </c>
      <c r="L318" s="9">
        <f t="shared" si="4"/>
        <v>0.04152584561</v>
      </c>
    </row>
    <row r="319" ht="22.5" customHeight="1">
      <c r="A319" s="4" t="s">
        <v>288</v>
      </c>
      <c r="B319" s="5">
        <v>45175.0</v>
      </c>
      <c r="C319" s="4" t="s">
        <v>24</v>
      </c>
      <c r="D319" s="4" t="s">
        <v>14</v>
      </c>
      <c r="E319" s="6">
        <v>24.0</v>
      </c>
      <c r="F319" s="7">
        <v>364.88</v>
      </c>
      <c r="G319" s="7">
        <v>430.33</v>
      </c>
      <c r="H319" s="6">
        <v>11.61</v>
      </c>
      <c r="I319" s="8">
        <f t="shared" si="1"/>
        <v>9128.848488</v>
      </c>
      <c r="J319" s="8">
        <f t="shared" si="2"/>
        <v>8757.12</v>
      </c>
      <c r="K319" s="8">
        <f t="shared" si="3"/>
        <v>371.728488</v>
      </c>
      <c r="L319" s="9">
        <f t="shared" si="4"/>
        <v>0.04072019472</v>
      </c>
    </row>
    <row r="320" ht="22.5" customHeight="1">
      <c r="A320" s="4" t="s">
        <v>289</v>
      </c>
      <c r="B320" s="5">
        <v>44939.0</v>
      </c>
      <c r="C320" s="4" t="s">
        <v>24</v>
      </c>
      <c r="D320" s="4" t="s">
        <v>22</v>
      </c>
      <c r="E320" s="6">
        <v>18.0</v>
      </c>
      <c r="F320" s="7">
        <v>245.64</v>
      </c>
      <c r="G320" s="7">
        <v>509.33</v>
      </c>
      <c r="H320" s="6">
        <v>49.88</v>
      </c>
      <c r="I320" s="8">
        <f t="shared" si="1"/>
        <v>4594.971528</v>
      </c>
      <c r="J320" s="8">
        <f t="shared" si="2"/>
        <v>4421.52</v>
      </c>
      <c r="K320" s="8">
        <f t="shared" si="3"/>
        <v>173.451528</v>
      </c>
      <c r="L320" s="9">
        <f t="shared" si="4"/>
        <v>0.03774811812</v>
      </c>
    </row>
    <row r="321" ht="22.5" customHeight="1">
      <c r="A321" s="4" t="s">
        <v>290</v>
      </c>
      <c r="B321" s="5">
        <v>44977.0</v>
      </c>
      <c r="C321" s="4" t="s">
        <v>24</v>
      </c>
      <c r="D321" s="4" t="s">
        <v>14</v>
      </c>
      <c r="E321" s="6">
        <v>20.0</v>
      </c>
      <c r="F321" s="7">
        <v>410.0</v>
      </c>
      <c r="G321" s="7">
        <v>460.7</v>
      </c>
      <c r="H321" s="6">
        <v>7.56</v>
      </c>
      <c r="I321" s="8">
        <f t="shared" si="1"/>
        <v>8517.4216</v>
      </c>
      <c r="J321" s="8">
        <f t="shared" si="2"/>
        <v>8200</v>
      </c>
      <c r="K321" s="8">
        <f t="shared" si="3"/>
        <v>317.4216</v>
      </c>
      <c r="L321" s="9">
        <f t="shared" si="4"/>
        <v>0.03726733452</v>
      </c>
    </row>
    <row r="322" ht="22.5" customHeight="1">
      <c r="A322" s="4" t="s">
        <v>291</v>
      </c>
      <c r="B322" s="5">
        <v>45040.0</v>
      </c>
      <c r="C322" s="4" t="s">
        <v>13</v>
      </c>
      <c r="D322" s="4" t="s">
        <v>22</v>
      </c>
      <c r="E322" s="6">
        <v>68.0</v>
      </c>
      <c r="F322" s="7">
        <v>158.45</v>
      </c>
      <c r="G322" s="7">
        <v>236.39</v>
      </c>
      <c r="H322" s="6">
        <v>31.02</v>
      </c>
      <c r="I322" s="8">
        <f t="shared" si="1"/>
        <v>11088.2039</v>
      </c>
      <c r="J322" s="8">
        <f t="shared" si="2"/>
        <v>10774.6</v>
      </c>
      <c r="K322" s="8">
        <f t="shared" si="3"/>
        <v>313.603896</v>
      </c>
      <c r="L322" s="9">
        <f t="shared" si="4"/>
        <v>0.02828265957</v>
      </c>
    </row>
    <row r="323" ht="22.5" customHeight="1">
      <c r="A323" s="4" t="s">
        <v>292</v>
      </c>
      <c r="B323" s="5">
        <v>45207.0</v>
      </c>
      <c r="C323" s="4" t="s">
        <v>29</v>
      </c>
      <c r="D323" s="4" t="s">
        <v>14</v>
      </c>
      <c r="E323" s="6">
        <v>71.0</v>
      </c>
      <c r="F323" s="7">
        <v>289.59</v>
      </c>
      <c r="G323" s="7">
        <v>347.54</v>
      </c>
      <c r="H323" s="6">
        <v>14.36</v>
      </c>
      <c r="I323" s="8">
        <f t="shared" si="1"/>
        <v>21131.96118</v>
      </c>
      <c r="J323" s="8">
        <f t="shared" si="2"/>
        <v>20560.89</v>
      </c>
      <c r="K323" s="8">
        <f t="shared" si="3"/>
        <v>571.071176</v>
      </c>
      <c r="L323" s="9">
        <f t="shared" si="4"/>
        <v>0.02702405003</v>
      </c>
    </row>
    <row r="324" ht="22.5" customHeight="1">
      <c r="A324" s="4" t="s">
        <v>251</v>
      </c>
      <c r="B324" s="5">
        <v>44985.0</v>
      </c>
      <c r="C324" s="4" t="s">
        <v>13</v>
      </c>
      <c r="D324" s="4" t="s">
        <v>22</v>
      </c>
      <c r="E324" s="6">
        <v>54.0</v>
      </c>
      <c r="F324" s="7">
        <v>457.34</v>
      </c>
      <c r="G324" s="7">
        <v>518.63</v>
      </c>
      <c r="H324" s="6">
        <v>9.38</v>
      </c>
      <c r="I324" s="8">
        <f t="shared" si="1"/>
        <v>25379.05532</v>
      </c>
      <c r="J324" s="8">
        <f t="shared" si="2"/>
        <v>24696.36</v>
      </c>
      <c r="K324" s="8">
        <f t="shared" si="3"/>
        <v>682.695324</v>
      </c>
      <c r="L324" s="9">
        <f t="shared" si="4"/>
        <v>0.02689995019</v>
      </c>
    </row>
    <row r="325" ht="22.5" customHeight="1">
      <c r="A325" s="4" t="s">
        <v>293</v>
      </c>
      <c r="B325" s="5">
        <v>45020.0</v>
      </c>
      <c r="C325" s="4" t="s">
        <v>21</v>
      </c>
      <c r="D325" s="4" t="s">
        <v>17</v>
      </c>
      <c r="E325" s="6">
        <v>87.0</v>
      </c>
      <c r="F325" s="7">
        <v>244.91</v>
      </c>
      <c r="G325" s="7">
        <v>474.95</v>
      </c>
      <c r="H325" s="6">
        <v>47.07</v>
      </c>
      <c r="I325" s="8">
        <f t="shared" si="1"/>
        <v>21871.02005</v>
      </c>
      <c r="J325" s="8">
        <f t="shared" si="2"/>
        <v>21307.17</v>
      </c>
      <c r="K325" s="8">
        <f t="shared" si="3"/>
        <v>563.850045</v>
      </c>
      <c r="L325" s="9">
        <f t="shared" si="4"/>
        <v>0.02578069262</v>
      </c>
    </row>
    <row r="326" ht="22.5" customHeight="1">
      <c r="A326" s="4" t="s">
        <v>294</v>
      </c>
      <c r="B326" s="5">
        <v>45015.0</v>
      </c>
      <c r="C326" s="4" t="s">
        <v>16</v>
      </c>
      <c r="D326" s="4" t="s">
        <v>19</v>
      </c>
      <c r="E326" s="6">
        <v>3.0</v>
      </c>
      <c r="F326" s="7">
        <v>485.79</v>
      </c>
      <c r="G326" s="7">
        <v>875.01</v>
      </c>
      <c r="H326" s="6">
        <v>43.03</v>
      </c>
      <c r="I326" s="8">
        <f t="shared" si="1"/>
        <v>1495.479591</v>
      </c>
      <c r="J326" s="8">
        <f t="shared" si="2"/>
        <v>1457.37</v>
      </c>
      <c r="K326" s="8">
        <f t="shared" si="3"/>
        <v>38.109591</v>
      </c>
      <c r="L326" s="9">
        <f t="shared" si="4"/>
        <v>0.0254831903</v>
      </c>
    </row>
    <row r="327" ht="22.5" customHeight="1">
      <c r="A327" s="4" t="s">
        <v>123</v>
      </c>
      <c r="B327" s="5">
        <v>45253.0</v>
      </c>
      <c r="C327" s="4" t="s">
        <v>13</v>
      </c>
      <c r="D327" s="4" t="s">
        <v>22</v>
      </c>
      <c r="E327" s="6">
        <v>43.0</v>
      </c>
      <c r="F327" s="7">
        <v>460.37</v>
      </c>
      <c r="G327" s="7">
        <v>863.33</v>
      </c>
      <c r="H327" s="6">
        <v>45.4</v>
      </c>
      <c r="I327" s="8">
        <f t="shared" si="1"/>
        <v>20269.26174</v>
      </c>
      <c r="J327" s="8">
        <f t="shared" si="2"/>
        <v>19795.91</v>
      </c>
      <c r="K327" s="8">
        <f t="shared" si="3"/>
        <v>473.35174</v>
      </c>
      <c r="L327" s="9">
        <f t="shared" si="4"/>
        <v>0.02335318109</v>
      </c>
    </row>
    <row r="328" ht="22.5" customHeight="1">
      <c r="A328" s="4" t="s">
        <v>295</v>
      </c>
      <c r="B328" s="5">
        <v>45086.0</v>
      </c>
      <c r="C328" s="4" t="s">
        <v>13</v>
      </c>
      <c r="D328" s="4" t="s">
        <v>14</v>
      </c>
      <c r="E328" s="6">
        <v>56.0</v>
      </c>
      <c r="F328" s="7">
        <v>144.13</v>
      </c>
      <c r="G328" s="7">
        <v>292.01</v>
      </c>
      <c r="H328" s="6">
        <v>49.72</v>
      </c>
      <c r="I328" s="8">
        <f t="shared" si="1"/>
        <v>8222.067168</v>
      </c>
      <c r="J328" s="8">
        <f t="shared" si="2"/>
        <v>8071.28</v>
      </c>
      <c r="K328" s="8">
        <f t="shared" si="3"/>
        <v>150.787168</v>
      </c>
      <c r="L328" s="9">
        <f t="shared" si="4"/>
        <v>0.01833932573</v>
      </c>
    </row>
    <row r="329" ht="22.5" customHeight="1">
      <c r="A329" s="4" t="s">
        <v>296</v>
      </c>
      <c r="B329" s="5">
        <v>45094.0</v>
      </c>
      <c r="C329" s="4" t="s">
        <v>24</v>
      </c>
      <c r="D329" s="4" t="s">
        <v>17</v>
      </c>
      <c r="E329" s="6">
        <v>42.0</v>
      </c>
      <c r="F329" s="7">
        <v>97.13</v>
      </c>
      <c r="G329" s="7">
        <v>135.59</v>
      </c>
      <c r="H329" s="6">
        <v>28.84</v>
      </c>
      <c r="I329" s="8">
        <f t="shared" si="1"/>
        <v>4052.405448</v>
      </c>
      <c r="J329" s="8">
        <f t="shared" si="2"/>
        <v>4079.46</v>
      </c>
      <c r="K329" s="8">
        <f t="shared" si="3"/>
        <v>-27.054552</v>
      </c>
      <c r="L329" s="9">
        <f t="shared" si="4"/>
        <v>-0.006676171066</v>
      </c>
    </row>
    <row r="330" ht="22.5" customHeight="1">
      <c r="A330" s="4" t="s">
        <v>297</v>
      </c>
      <c r="B330" s="5">
        <v>45138.0</v>
      </c>
      <c r="C330" s="4" t="s">
        <v>16</v>
      </c>
      <c r="D330" s="4" t="s">
        <v>22</v>
      </c>
      <c r="E330" s="6">
        <v>97.0</v>
      </c>
      <c r="F330" s="7">
        <v>305.15</v>
      </c>
      <c r="G330" s="7">
        <v>521.75</v>
      </c>
      <c r="H330" s="6">
        <v>42.08</v>
      </c>
      <c r="I330" s="8">
        <f t="shared" si="1"/>
        <v>29313.1672</v>
      </c>
      <c r="J330" s="8">
        <f t="shared" si="2"/>
        <v>29599.55</v>
      </c>
      <c r="K330" s="8">
        <f t="shared" si="3"/>
        <v>-286.3828</v>
      </c>
      <c r="L330" s="9">
        <f t="shared" si="4"/>
        <v>-0.009769766537</v>
      </c>
    </row>
    <row r="331" ht="22.5" customHeight="1">
      <c r="A331" s="4" t="s">
        <v>298</v>
      </c>
      <c r="B331" s="5">
        <v>45244.0</v>
      </c>
      <c r="C331" s="4" t="s">
        <v>24</v>
      </c>
      <c r="D331" s="4" t="s">
        <v>14</v>
      </c>
      <c r="E331" s="6">
        <v>70.0</v>
      </c>
      <c r="F331" s="7">
        <v>386.51</v>
      </c>
      <c r="G331" s="7">
        <v>411.79</v>
      </c>
      <c r="H331" s="6">
        <v>7.11</v>
      </c>
      <c r="I331" s="8">
        <f t="shared" si="1"/>
        <v>26775.82117</v>
      </c>
      <c r="J331" s="8">
        <f t="shared" si="2"/>
        <v>27055.7</v>
      </c>
      <c r="K331" s="8">
        <f t="shared" si="3"/>
        <v>-279.87883</v>
      </c>
      <c r="L331" s="9">
        <f t="shared" si="4"/>
        <v>-0.01045267027</v>
      </c>
    </row>
    <row r="332" ht="22.5" customHeight="1">
      <c r="A332" s="4" t="s">
        <v>299</v>
      </c>
      <c r="B332" s="5">
        <v>45217.0</v>
      </c>
      <c r="C332" s="4" t="s">
        <v>13</v>
      </c>
      <c r="D332" s="4" t="s">
        <v>17</v>
      </c>
      <c r="E332" s="6">
        <v>16.0</v>
      </c>
      <c r="F332" s="7">
        <v>462.42</v>
      </c>
      <c r="G332" s="7">
        <v>754.96</v>
      </c>
      <c r="H332" s="6">
        <v>39.48</v>
      </c>
      <c r="I332" s="8">
        <f t="shared" si="1"/>
        <v>7310.428672</v>
      </c>
      <c r="J332" s="8">
        <f t="shared" si="2"/>
        <v>7398.72</v>
      </c>
      <c r="K332" s="8">
        <f t="shared" si="3"/>
        <v>-88.291328</v>
      </c>
      <c r="L332" s="9">
        <f t="shared" si="4"/>
        <v>-0.0120774488</v>
      </c>
    </row>
    <row r="333" ht="22.5" customHeight="1">
      <c r="A333" s="4" t="s">
        <v>300</v>
      </c>
      <c r="B333" s="5">
        <v>45137.0</v>
      </c>
      <c r="C333" s="4" t="s">
        <v>29</v>
      </c>
      <c r="D333" s="4" t="s">
        <v>22</v>
      </c>
      <c r="E333" s="6">
        <v>25.0</v>
      </c>
      <c r="F333" s="7">
        <v>472.62</v>
      </c>
      <c r="G333" s="7">
        <v>654.01</v>
      </c>
      <c r="H333" s="6">
        <v>28.6</v>
      </c>
      <c r="I333" s="8">
        <f t="shared" si="1"/>
        <v>11674.0785</v>
      </c>
      <c r="J333" s="8">
        <f t="shared" si="2"/>
        <v>11815.5</v>
      </c>
      <c r="K333" s="8">
        <f t="shared" si="3"/>
        <v>-141.4215</v>
      </c>
      <c r="L333" s="9">
        <f t="shared" si="4"/>
        <v>-0.01211414674</v>
      </c>
    </row>
    <row r="334" ht="22.5" customHeight="1">
      <c r="A334" s="4" t="s">
        <v>301</v>
      </c>
      <c r="B334" s="5">
        <v>45245.0</v>
      </c>
      <c r="C334" s="4" t="s">
        <v>21</v>
      </c>
      <c r="D334" s="4" t="s">
        <v>19</v>
      </c>
      <c r="E334" s="6">
        <v>28.0</v>
      </c>
      <c r="F334" s="7">
        <v>317.02</v>
      </c>
      <c r="G334" s="7">
        <v>340.0</v>
      </c>
      <c r="H334" s="6">
        <v>8.09</v>
      </c>
      <c r="I334" s="8">
        <f t="shared" si="1"/>
        <v>8749.832</v>
      </c>
      <c r="J334" s="8">
        <f t="shared" si="2"/>
        <v>8876.56</v>
      </c>
      <c r="K334" s="8">
        <f t="shared" si="3"/>
        <v>-126.728</v>
      </c>
      <c r="L334" s="9">
        <f t="shared" si="4"/>
        <v>-0.01448347808</v>
      </c>
    </row>
    <row r="335" ht="22.5" customHeight="1">
      <c r="A335" s="4" t="s">
        <v>302</v>
      </c>
      <c r="B335" s="5">
        <v>44965.0</v>
      </c>
      <c r="C335" s="4" t="s">
        <v>16</v>
      </c>
      <c r="D335" s="4" t="s">
        <v>22</v>
      </c>
      <c r="E335" s="6">
        <v>48.0</v>
      </c>
      <c r="F335" s="7">
        <v>425.42</v>
      </c>
      <c r="G335" s="7">
        <v>584.82</v>
      </c>
      <c r="H335" s="6">
        <v>28.34</v>
      </c>
      <c r="I335" s="8">
        <f t="shared" si="1"/>
        <v>20115.93658</v>
      </c>
      <c r="J335" s="8">
        <f t="shared" si="2"/>
        <v>20420.16</v>
      </c>
      <c r="K335" s="8">
        <f t="shared" si="3"/>
        <v>-304.223424</v>
      </c>
      <c r="L335" s="9">
        <f t="shared" si="4"/>
        <v>-0.01512350284</v>
      </c>
    </row>
    <row r="336" ht="22.5" customHeight="1">
      <c r="A336" s="4" t="s">
        <v>303</v>
      </c>
      <c r="B336" s="5">
        <v>45211.0</v>
      </c>
      <c r="C336" s="4" t="s">
        <v>21</v>
      </c>
      <c r="D336" s="4" t="s">
        <v>22</v>
      </c>
      <c r="E336" s="6">
        <v>39.0</v>
      </c>
      <c r="F336" s="7">
        <v>417.53</v>
      </c>
      <c r="G336" s="7">
        <v>793.44</v>
      </c>
      <c r="H336" s="6">
        <v>48.68</v>
      </c>
      <c r="I336" s="8">
        <f t="shared" si="1"/>
        <v>15880.54291</v>
      </c>
      <c r="J336" s="8">
        <f t="shared" si="2"/>
        <v>16283.67</v>
      </c>
      <c r="K336" s="8">
        <f t="shared" si="3"/>
        <v>-403.127088</v>
      </c>
      <c r="L336" s="9">
        <f t="shared" si="4"/>
        <v>-0.0253849689</v>
      </c>
    </row>
    <row r="337" ht="22.5" customHeight="1">
      <c r="A337" s="4" t="s">
        <v>304</v>
      </c>
      <c r="B337" s="5">
        <v>45116.0</v>
      </c>
      <c r="C337" s="4" t="s">
        <v>24</v>
      </c>
      <c r="D337" s="4" t="s">
        <v>22</v>
      </c>
      <c r="E337" s="6">
        <v>25.0</v>
      </c>
      <c r="F337" s="7">
        <v>144.64</v>
      </c>
      <c r="G337" s="7">
        <v>149.47</v>
      </c>
      <c r="H337" s="6">
        <v>6.72</v>
      </c>
      <c r="I337" s="8">
        <f t="shared" si="1"/>
        <v>3485.6404</v>
      </c>
      <c r="J337" s="8">
        <f t="shared" si="2"/>
        <v>3616</v>
      </c>
      <c r="K337" s="8">
        <f t="shared" si="3"/>
        <v>-130.3596</v>
      </c>
      <c r="L337" s="9">
        <f t="shared" si="4"/>
        <v>-0.03739903864</v>
      </c>
    </row>
    <row r="338" ht="22.5" customHeight="1">
      <c r="A338" s="4" t="s">
        <v>305</v>
      </c>
      <c r="B338" s="5">
        <v>45252.0</v>
      </c>
      <c r="C338" s="4" t="s">
        <v>13</v>
      </c>
      <c r="D338" s="4" t="s">
        <v>19</v>
      </c>
      <c r="E338" s="6">
        <v>68.0</v>
      </c>
      <c r="F338" s="7">
        <v>473.48</v>
      </c>
      <c r="G338" s="7">
        <v>513.6</v>
      </c>
      <c r="H338" s="6">
        <v>11.3</v>
      </c>
      <c r="I338" s="8">
        <f t="shared" si="1"/>
        <v>30978.2976</v>
      </c>
      <c r="J338" s="8">
        <f t="shared" si="2"/>
        <v>32196.64</v>
      </c>
      <c r="K338" s="8">
        <f t="shared" si="3"/>
        <v>-1218.3424</v>
      </c>
      <c r="L338" s="9">
        <f t="shared" si="4"/>
        <v>-0.03932890102</v>
      </c>
    </row>
    <row r="339" ht="22.5" customHeight="1">
      <c r="A339" s="4" t="s">
        <v>306</v>
      </c>
      <c r="B339" s="5">
        <v>45146.0</v>
      </c>
      <c r="C339" s="4" t="s">
        <v>16</v>
      </c>
      <c r="D339" s="4" t="s">
        <v>19</v>
      </c>
      <c r="E339" s="6">
        <v>60.0</v>
      </c>
      <c r="F339" s="7">
        <v>212.91</v>
      </c>
      <c r="G339" s="7">
        <v>349.78</v>
      </c>
      <c r="H339" s="6">
        <v>41.52</v>
      </c>
      <c r="I339" s="8">
        <f t="shared" si="1"/>
        <v>12273.08064</v>
      </c>
      <c r="J339" s="8">
        <f t="shared" si="2"/>
        <v>12774.6</v>
      </c>
      <c r="K339" s="8">
        <f t="shared" si="3"/>
        <v>-501.51936</v>
      </c>
      <c r="L339" s="9">
        <f t="shared" si="4"/>
        <v>-0.04086336387</v>
      </c>
    </row>
    <row r="340" ht="22.5" customHeight="1">
      <c r="A340" s="4" t="s">
        <v>307</v>
      </c>
      <c r="B340" s="5">
        <v>45068.0</v>
      </c>
      <c r="C340" s="4" t="s">
        <v>13</v>
      </c>
      <c r="D340" s="4" t="s">
        <v>19</v>
      </c>
      <c r="E340" s="6">
        <v>67.0</v>
      </c>
      <c r="F340" s="7">
        <v>374.18</v>
      </c>
      <c r="G340" s="7">
        <v>573.39</v>
      </c>
      <c r="H340" s="6">
        <v>38.39</v>
      </c>
      <c r="I340" s="8">
        <f t="shared" si="1"/>
        <v>23668.79379</v>
      </c>
      <c r="J340" s="8">
        <f t="shared" si="2"/>
        <v>25070.06</v>
      </c>
      <c r="K340" s="8">
        <f t="shared" si="3"/>
        <v>-1401.266207</v>
      </c>
      <c r="L340" s="9">
        <f t="shared" si="4"/>
        <v>-0.05920311019</v>
      </c>
    </row>
    <row r="341" ht="22.5" customHeight="1">
      <c r="A341" s="4" t="s">
        <v>308</v>
      </c>
      <c r="B341" s="5">
        <v>45008.0</v>
      </c>
      <c r="C341" s="4" t="s">
        <v>29</v>
      </c>
      <c r="D341" s="4" t="s">
        <v>17</v>
      </c>
      <c r="E341" s="6">
        <v>57.0</v>
      </c>
      <c r="F341" s="7">
        <v>19.14</v>
      </c>
      <c r="G341" s="7">
        <v>25.93</v>
      </c>
      <c r="H341" s="6">
        <v>30.61</v>
      </c>
      <c r="I341" s="8">
        <f t="shared" si="1"/>
        <v>1025.591139</v>
      </c>
      <c r="J341" s="8">
        <f t="shared" si="2"/>
        <v>1090.98</v>
      </c>
      <c r="K341" s="8">
        <f t="shared" si="3"/>
        <v>-65.388861</v>
      </c>
      <c r="L341" s="9">
        <f t="shared" si="4"/>
        <v>-0.06375724059</v>
      </c>
    </row>
    <row r="342" ht="22.5" customHeight="1">
      <c r="A342" s="4" t="s">
        <v>309</v>
      </c>
      <c r="B342" s="5">
        <v>44957.0</v>
      </c>
      <c r="C342" s="4" t="s">
        <v>24</v>
      </c>
      <c r="D342" s="4" t="s">
        <v>14</v>
      </c>
      <c r="E342" s="6">
        <v>34.0</v>
      </c>
      <c r="F342" s="7">
        <v>327.07</v>
      </c>
      <c r="G342" s="7">
        <v>440.86</v>
      </c>
      <c r="H342" s="6">
        <v>30.76</v>
      </c>
      <c r="I342" s="8">
        <f t="shared" si="1"/>
        <v>10378.54978</v>
      </c>
      <c r="J342" s="8">
        <f t="shared" si="2"/>
        <v>11120.38</v>
      </c>
      <c r="K342" s="8">
        <f t="shared" si="3"/>
        <v>-741.830224</v>
      </c>
      <c r="L342" s="9">
        <f t="shared" si="4"/>
        <v>-0.0714772526</v>
      </c>
    </row>
    <row r="343" ht="22.5" customHeight="1">
      <c r="A343" s="4" t="s">
        <v>137</v>
      </c>
      <c r="B343" s="5">
        <v>45152.0</v>
      </c>
      <c r="C343" s="4" t="s">
        <v>16</v>
      </c>
      <c r="D343" s="4" t="s">
        <v>14</v>
      </c>
      <c r="E343" s="6">
        <v>52.0</v>
      </c>
      <c r="F343" s="7">
        <v>382.79</v>
      </c>
      <c r="G343" s="7">
        <v>520.21</v>
      </c>
      <c r="H343" s="6">
        <v>31.55</v>
      </c>
      <c r="I343" s="8">
        <f t="shared" si="1"/>
        <v>18516.35474</v>
      </c>
      <c r="J343" s="8">
        <f t="shared" si="2"/>
        <v>19905.08</v>
      </c>
      <c r="K343" s="8">
        <f t="shared" si="3"/>
        <v>-1388.72526</v>
      </c>
      <c r="L343" s="9">
        <f t="shared" si="4"/>
        <v>-0.07499992733</v>
      </c>
    </row>
    <row r="344" ht="22.5" customHeight="1">
      <c r="A344" s="4" t="s">
        <v>310</v>
      </c>
      <c r="B344" s="5">
        <v>45184.0</v>
      </c>
      <c r="C344" s="4" t="s">
        <v>24</v>
      </c>
      <c r="D344" s="4" t="s">
        <v>22</v>
      </c>
      <c r="E344" s="6">
        <v>44.0</v>
      </c>
      <c r="F344" s="7">
        <v>147.8</v>
      </c>
      <c r="G344" s="7">
        <v>257.77</v>
      </c>
      <c r="H344" s="6">
        <v>46.93</v>
      </c>
      <c r="I344" s="8">
        <f t="shared" si="1"/>
        <v>6019.135716</v>
      </c>
      <c r="J344" s="8">
        <f t="shared" si="2"/>
        <v>6503.2</v>
      </c>
      <c r="K344" s="8">
        <f t="shared" si="3"/>
        <v>-484.064284</v>
      </c>
      <c r="L344" s="9">
        <f t="shared" si="4"/>
        <v>-0.08042089543</v>
      </c>
    </row>
    <row r="345" ht="22.5" customHeight="1">
      <c r="A345" s="4" t="s">
        <v>311</v>
      </c>
      <c r="B345" s="5">
        <v>45253.0</v>
      </c>
      <c r="C345" s="4" t="s">
        <v>21</v>
      </c>
      <c r="D345" s="4" t="s">
        <v>19</v>
      </c>
      <c r="E345" s="6">
        <v>66.0</v>
      </c>
      <c r="F345" s="7">
        <v>333.41</v>
      </c>
      <c r="G345" s="7">
        <v>312.93</v>
      </c>
      <c r="H345" s="6">
        <v>2.98</v>
      </c>
      <c r="I345" s="8">
        <f t="shared" si="1"/>
        <v>20037.90928</v>
      </c>
      <c r="J345" s="8">
        <f t="shared" si="2"/>
        <v>22005.06</v>
      </c>
      <c r="K345" s="8">
        <f t="shared" si="3"/>
        <v>-1967.150724</v>
      </c>
      <c r="L345" s="9">
        <f t="shared" si="4"/>
        <v>-0.09817145576</v>
      </c>
    </row>
    <row r="346" ht="22.5" customHeight="1">
      <c r="A346" s="4" t="s">
        <v>312</v>
      </c>
      <c r="B346" s="5">
        <v>45047.0</v>
      </c>
      <c r="C346" s="4" t="s">
        <v>29</v>
      </c>
      <c r="D346" s="4" t="s">
        <v>14</v>
      </c>
      <c r="E346" s="6">
        <v>88.0</v>
      </c>
      <c r="F346" s="7">
        <v>237.34</v>
      </c>
      <c r="G346" s="7">
        <v>358.67</v>
      </c>
      <c r="H346" s="6">
        <v>40.48</v>
      </c>
      <c r="I346" s="8">
        <f t="shared" si="1"/>
        <v>18786.27379</v>
      </c>
      <c r="J346" s="8">
        <f t="shared" si="2"/>
        <v>20885.92</v>
      </c>
      <c r="K346" s="8">
        <f t="shared" si="3"/>
        <v>-2099.646208</v>
      </c>
      <c r="L346" s="9">
        <f t="shared" si="4"/>
        <v>-0.1117649104</v>
      </c>
    </row>
    <row r="347" ht="22.5" customHeight="1">
      <c r="A347" s="4" t="s">
        <v>313</v>
      </c>
      <c r="B347" s="5">
        <v>45109.0</v>
      </c>
      <c r="C347" s="4" t="s">
        <v>21</v>
      </c>
      <c r="D347" s="4" t="s">
        <v>14</v>
      </c>
      <c r="E347" s="6">
        <v>29.0</v>
      </c>
      <c r="F347" s="7">
        <v>151.98</v>
      </c>
      <c r="G347" s="7">
        <v>189.15</v>
      </c>
      <c r="H347" s="6">
        <v>27.99</v>
      </c>
      <c r="I347" s="8">
        <f t="shared" si="1"/>
        <v>3950.000535</v>
      </c>
      <c r="J347" s="8">
        <f t="shared" si="2"/>
        <v>4407.42</v>
      </c>
      <c r="K347" s="8">
        <f t="shared" si="3"/>
        <v>-457.419465</v>
      </c>
      <c r="L347" s="9">
        <f t="shared" si="4"/>
        <v>-0.1158023805</v>
      </c>
    </row>
    <row r="348" ht="22.5" customHeight="1">
      <c r="A348" s="4" t="s">
        <v>314</v>
      </c>
      <c r="B348" s="5">
        <v>45241.0</v>
      </c>
      <c r="C348" s="4" t="s">
        <v>24</v>
      </c>
      <c r="D348" s="4" t="s">
        <v>19</v>
      </c>
      <c r="E348" s="6">
        <v>97.0</v>
      </c>
      <c r="F348" s="7">
        <v>385.05</v>
      </c>
      <c r="G348" s="7">
        <v>493.06</v>
      </c>
      <c r="H348" s="6">
        <v>30.04</v>
      </c>
      <c r="I348" s="8">
        <f t="shared" si="1"/>
        <v>33459.64327</v>
      </c>
      <c r="J348" s="8">
        <f t="shared" si="2"/>
        <v>37349.85</v>
      </c>
      <c r="K348" s="8">
        <f t="shared" si="3"/>
        <v>-3890.206728</v>
      </c>
      <c r="L348" s="9">
        <f t="shared" si="4"/>
        <v>-0.1162656367</v>
      </c>
    </row>
    <row r="349" ht="22.5" customHeight="1">
      <c r="A349" s="4" t="s">
        <v>315</v>
      </c>
      <c r="B349" s="5">
        <v>44927.0</v>
      </c>
      <c r="C349" s="4" t="s">
        <v>24</v>
      </c>
      <c r="D349" s="4" t="s">
        <v>14</v>
      </c>
      <c r="E349" s="6">
        <v>15.0</v>
      </c>
      <c r="F349" s="7">
        <v>236.87</v>
      </c>
      <c r="G349" s="7">
        <v>245.46</v>
      </c>
      <c r="H349" s="6">
        <v>13.74</v>
      </c>
      <c r="I349" s="8">
        <f t="shared" si="1"/>
        <v>3176.00694</v>
      </c>
      <c r="J349" s="8">
        <f t="shared" si="2"/>
        <v>3553.05</v>
      </c>
      <c r="K349" s="8">
        <f t="shared" si="3"/>
        <v>-377.04306</v>
      </c>
      <c r="L349" s="9">
        <f t="shared" si="4"/>
        <v>-0.1187160693</v>
      </c>
    </row>
    <row r="350" ht="22.5" customHeight="1">
      <c r="A350" s="4" t="s">
        <v>316</v>
      </c>
      <c r="B350" s="5">
        <v>44947.0</v>
      </c>
      <c r="C350" s="4" t="s">
        <v>29</v>
      </c>
      <c r="D350" s="4" t="s">
        <v>22</v>
      </c>
      <c r="E350" s="6">
        <v>46.0</v>
      </c>
      <c r="F350" s="7">
        <v>284.63</v>
      </c>
      <c r="G350" s="7">
        <v>291.08</v>
      </c>
      <c r="H350" s="6">
        <v>13.9</v>
      </c>
      <c r="I350" s="8">
        <f t="shared" si="1"/>
        <v>11528.51448</v>
      </c>
      <c r="J350" s="8">
        <f t="shared" si="2"/>
        <v>13092.98</v>
      </c>
      <c r="K350" s="8">
        <f t="shared" si="3"/>
        <v>-1564.46552</v>
      </c>
      <c r="L350" s="9">
        <f t="shared" si="4"/>
        <v>-0.1357039992</v>
      </c>
    </row>
    <row r="351" ht="22.5" customHeight="1">
      <c r="A351" s="4" t="s">
        <v>317</v>
      </c>
      <c r="B351" s="5">
        <v>45233.0</v>
      </c>
      <c r="C351" s="4" t="s">
        <v>24</v>
      </c>
      <c r="D351" s="4" t="s">
        <v>17</v>
      </c>
      <c r="E351" s="6">
        <v>47.0</v>
      </c>
      <c r="F351" s="7">
        <v>276.97</v>
      </c>
      <c r="G351" s="7">
        <v>427.76</v>
      </c>
      <c r="H351" s="6">
        <v>43.07</v>
      </c>
      <c r="I351" s="8">
        <f t="shared" si="1"/>
        <v>11445.6171</v>
      </c>
      <c r="J351" s="8">
        <f t="shared" si="2"/>
        <v>13017.59</v>
      </c>
      <c r="K351" s="8">
        <f t="shared" si="3"/>
        <v>-1571.972904</v>
      </c>
      <c r="L351" s="9">
        <f t="shared" si="4"/>
        <v>-0.1373427829</v>
      </c>
    </row>
    <row r="352" ht="22.5" customHeight="1">
      <c r="A352" s="4" t="s">
        <v>134</v>
      </c>
      <c r="B352" s="5">
        <v>45021.0</v>
      </c>
      <c r="C352" s="4" t="s">
        <v>24</v>
      </c>
      <c r="D352" s="4" t="s">
        <v>22</v>
      </c>
      <c r="E352" s="6">
        <v>83.0</v>
      </c>
      <c r="F352" s="7">
        <v>184.53</v>
      </c>
      <c r="G352" s="7">
        <v>311.13</v>
      </c>
      <c r="H352" s="6">
        <v>47.97</v>
      </c>
      <c r="I352" s="8">
        <f t="shared" si="1"/>
        <v>13436.11794</v>
      </c>
      <c r="J352" s="8">
        <f t="shared" si="2"/>
        <v>15315.99</v>
      </c>
      <c r="K352" s="8">
        <f t="shared" si="3"/>
        <v>-1879.872063</v>
      </c>
      <c r="L352" s="9">
        <f t="shared" si="4"/>
        <v>-0.139911846</v>
      </c>
    </row>
    <row r="353" ht="22.5" customHeight="1">
      <c r="A353" s="4" t="s">
        <v>289</v>
      </c>
      <c r="B353" s="5">
        <v>44984.0</v>
      </c>
      <c r="C353" s="4" t="s">
        <v>16</v>
      </c>
      <c r="D353" s="4" t="s">
        <v>19</v>
      </c>
      <c r="E353" s="6">
        <v>80.0</v>
      </c>
      <c r="F353" s="7">
        <v>232.76</v>
      </c>
      <c r="G353" s="7">
        <v>326.06</v>
      </c>
      <c r="H353" s="6">
        <v>37.87</v>
      </c>
      <c r="I353" s="8">
        <f t="shared" si="1"/>
        <v>16206.48624</v>
      </c>
      <c r="J353" s="8">
        <f t="shared" si="2"/>
        <v>18620.8</v>
      </c>
      <c r="K353" s="8">
        <f t="shared" si="3"/>
        <v>-2414.31376</v>
      </c>
      <c r="L353" s="9">
        <f t="shared" si="4"/>
        <v>-0.1489720674</v>
      </c>
    </row>
    <row r="354" ht="22.5" customHeight="1">
      <c r="A354" s="4" t="s">
        <v>318</v>
      </c>
      <c r="B354" s="5">
        <v>45228.0</v>
      </c>
      <c r="C354" s="4" t="s">
        <v>21</v>
      </c>
      <c r="D354" s="4" t="s">
        <v>17</v>
      </c>
      <c r="E354" s="6">
        <v>31.0</v>
      </c>
      <c r="F354" s="7">
        <v>168.4</v>
      </c>
      <c r="G354" s="7">
        <v>160.14</v>
      </c>
      <c r="H354" s="6">
        <v>9.43</v>
      </c>
      <c r="I354" s="8">
        <f t="shared" si="1"/>
        <v>4496.202738</v>
      </c>
      <c r="J354" s="8">
        <f t="shared" si="2"/>
        <v>5220.4</v>
      </c>
      <c r="K354" s="8">
        <f t="shared" si="3"/>
        <v>-724.197262</v>
      </c>
      <c r="L354" s="9">
        <f t="shared" si="4"/>
        <v>-0.1610686404</v>
      </c>
    </row>
    <row r="355" ht="22.5" customHeight="1">
      <c r="A355" s="4" t="s">
        <v>319</v>
      </c>
      <c r="B355" s="5">
        <v>45090.0</v>
      </c>
      <c r="C355" s="4" t="s">
        <v>29</v>
      </c>
      <c r="D355" s="4" t="s">
        <v>22</v>
      </c>
      <c r="E355" s="6">
        <v>51.0</v>
      </c>
      <c r="F355" s="7">
        <v>343.26</v>
      </c>
      <c r="G355" s="7">
        <v>542.52</v>
      </c>
      <c r="H355" s="6">
        <v>45.64</v>
      </c>
      <c r="I355" s="8">
        <f t="shared" si="1"/>
        <v>15040.60747</v>
      </c>
      <c r="J355" s="8">
        <f t="shared" si="2"/>
        <v>17506.26</v>
      </c>
      <c r="K355" s="8">
        <f t="shared" si="3"/>
        <v>-2465.652528</v>
      </c>
      <c r="L355" s="9">
        <f t="shared" si="4"/>
        <v>-0.1639330414</v>
      </c>
    </row>
    <row r="356" ht="22.5" customHeight="1">
      <c r="A356" s="4" t="s">
        <v>320</v>
      </c>
      <c r="B356" s="5">
        <v>45050.0</v>
      </c>
      <c r="C356" s="4" t="s">
        <v>29</v>
      </c>
      <c r="D356" s="4" t="s">
        <v>17</v>
      </c>
      <c r="E356" s="6">
        <v>53.0</v>
      </c>
      <c r="F356" s="7">
        <v>114.0</v>
      </c>
      <c r="G356" s="7">
        <v>169.59</v>
      </c>
      <c r="H356" s="6">
        <v>42.63</v>
      </c>
      <c r="I356" s="8">
        <f t="shared" si="1"/>
        <v>5156.570499</v>
      </c>
      <c r="J356" s="8">
        <f t="shared" si="2"/>
        <v>6042</v>
      </c>
      <c r="K356" s="8">
        <f t="shared" si="3"/>
        <v>-885.429501</v>
      </c>
      <c r="L356" s="9">
        <f t="shared" si="4"/>
        <v>-0.1717089878</v>
      </c>
    </row>
    <row r="357" ht="22.5" customHeight="1">
      <c r="A357" s="4" t="s">
        <v>243</v>
      </c>
      <c r="B357" s="5">
        <v>44942.0</v>
      </c>
      <c r="C357" s="4" t="s">
        <v>16</v>
      </c>
      <c r="D357" s="4" t="s">
        <v>17</v>
      </c>
      <c r="E357" s="6">
        <v>93.0</v>
      </c>
      <c r="F357" s="7">
        <v>334.15</v>
      </c>
      <c r="G357" s="7">
        <v>397.4</v>
      </c>
      <c r="H357" s="6">
        <v>28.39</v>
      </c>
      <c r="I357" s="8">
        <f t="shared" si="1"/>
        <v>26465.76702</v>
      </c>
      <c r="J357" s="8">
        <f t="shared" si="2"/>
        <v>31075.95</v>
      </c>
      <c r="K357" s="8">
        <f t="shared" si="3"/>
        <v>-4610.18298</v>
      </c>
      <c r="L357" s="9">
        <f t="shared" si="4"/>
        <v>-0.174194195</v>
      </c>
    </row>
    <row r="358" ht="22.5" customHeight="1">
      <c r="A358" s="4" t="s">
        <v>321</v>
      </c>
      <c r="B358" s="5">
        <v>45206.0</v>
      </c>
      <c r="C358" s="4" t="s">
        <v>21</v>
      </c>
      <c r="D358" s="4" t="s">
        <v>22</v>
      </c>
      <c r="E358" s="6">
        <v>37.0</v>
      </c>
      <c r="F358" s="7">
        <v>280.81</v>
      </c>
      <c r="G358" s="7">
        <v>316.55</v>
      </c>
      <c r="H358" s="6">
        <v>25.19</v>
      </c>
      <c r="I358" s="8">
        <f t="shared" si="1"/>
        <v>8762.009035</v>
      </c>
      <c r="J358" s="8">
        <f t="shared" si="2"/>
        <v>10389.97</v>
      </c>
      <c r="K358" s="8">
        <f t="shared" si="3"/>
        <v>-1627.960965</v>
      </c>
      <c r="L358" s="9">
        <f t="shared" si="4"/>
        <v>-0.1857976816</v>
      </c>
    </row>
    <row r="359" ht="22.5" customHeight="1">
      <c r="A359" s="4" t="s">
        <v>322</v>
      </c>
      <c r="B359" s="5">
        <v>45077.0</v>
      </c>
      <c r="C359" s="4" t="s">
        <v>29</v>
      </c>
      <c r="D359" s="4" t="s">
        <v>19</v>
      </c>
      <c r="E359" s="6">
        <v>11.0</v>
      </c>
      <c r="F359" s="7">
        <v>258.45</v>
      </c>
      <c r="G359" s="7">
        <v>253.54</v>
      </c>
      <c r="H359" s="6">
        <v>14.59</v>
      </c>
      <c r="I359" s="8">
        <f t="shared" si="1"/>
        <v>2382.033654</v>
      </c>
      <c r="J359" s="8">
        <f t="shared" si="2"/>
        <v>2842.95</v>
      </c>
      <c r="K359" s="8">
        <f t="shared" si="3"/>
        <v>-460.916346</v>
      </c>
      <c r="L359" s="9">
        <f t="shared" si="4"/>
        <v>-0.1934969916</v>
      </c>
    </row>
    <row r="360" ht="22.5" customHeight="1">
      <c r="A360" s="4" t="s">
        <v>323</v>
      </c>
      <c r="B360" s="5">
        <v>45255.0</v>
      </c>
      <c r="C360" s="4" t="s">
        <v>21</v>
      </c>
      <c r="D360" s="4" t="s">
        <v>22</v>
      </c>
      <c r="E360" s="6">
        <v>33.0</v>
      </c>
      <c r="F360" s="7">
        <v>252.65</v>
      </c>
      <c r="G360" s="7">
        <v>405.17</v>
      </c>
      <c r="H360" s="6">
        <v>47.86</v>
      </c>
      <c r="I360" s="8">
        <f t="shared" si="1"/>
        <v>6971.436054</v>
      </c>
      <c r="J360" s="8">
        <f t="shared" si="2"/>
        <v>8337.45</v>
      </c>
      <c r="K360" s="8">
        <f t="shared" si="3"/>
        <v>-1366.013946</v>
      </c>
      <c r="L360" s="9">
        <f t="shared" si="4"/>
        <v>-0.1959444131</v>
      </c>
    </row>
    <row r="361" ht="22.5" customHeight="1">
      <c r="A361" s="4" t="s">
        <v>324</v>
      </c>
      <c r="B361" s="5">
        <v>45075.0</v>
      </c>
      <c r="C361" s="4" t="s">
        <v>24</v>
      </c>
      <c r="D361" s="4" t="s">
        <v>14</v>
      </c>
      <c r="E361" s="6">
        <v>86.0</v>
      </c>
      <c r="F361" s="7">
        <v>366.23</v>
      </c>
      <c r="G361" s="7">
        <v>394.55</v>
      </c>
      <c r="H361" s="6">
        <v>23.69</v>
      </c>
      <c r="I361" s="8">
        <f t="shared" si="1"/>
        <v>25892.97503</v>
      </c>
      <c r="J361" s="8">
        <f t="shared" si="2"/>
        <v>31495.78</v>
      </c>
      <c r="K361" s="8">
        <f t="shared" si="3"/>
        <v>-5602.80497</v>
      </c>
      <c r="L361" s="9">
        <f t="shared" si="4"/>
        <v>-0.2163832068</v>
      </c>
    </row>
    <row r="362" ht="22.5" customHeight="1">
      <c r="A362" s="4" t="s">
        <v>325</v>
      </c>
      <c r="B362" s="5">
        <v>45289.0</v>
      </c>
      <c r="C362" s="4" t="s">
        <v>13</v>
      </c>
      <c r="D362" s="4" t="s">
        <v>17</v>
      </c>
      <c r="E362" s="6">
        <v>90.0</v>
      </c>
      <c r="F362" s="7">
        <v>454.48</v>
      </c>
      <c r="G362" s="7">
        <v>722.32</v>
      </c>
      <c r="H362" s="6">
        <v>48.62</v>
      </c>
      <c r="I362" s="8">
        <f t="shared" si="1"/>
        <v>33401.52144</v>
      </c>
      <c r="J362" s="8">
        <f t="shared" si="2"/>
        <v>40903.2</v>
      </c>
      <c r="K362" s="8">
        <f t="shared" si="3"/>
        <v>-7501.67856</v>
      </c>
      <c r="L362" s="9">
        <f t="shared" si="4"/>
        <v>-0.2245909239</v>
      </c>
    </row>
    <row r="363" ht="22.5" customHeight="1">
      <c r="A363" s="4" t="s">
        <v>326</v>
      </c>
      <c r="B363" s="5">
        <v>45004.0</v>
      </c>
      <c r="C363" s="4" t="s">
        <v>24</v>
      </c>
      <c r="D363" s="4" t="s">
        <v>17</v>
      </c>
      <c r="E363" s="6">
        <v>31.0</v>
      </c>
      <c r="F363" s="7">
        <v>478.7</v>
      </c>
      <c r="G363" s="7">
        <v>638.12</v>
      </c>
      <c r="H363" s="6">
        <v>39.0</v>
      </c>
      <c r="I363" s="8">
        <f t="shared" si="1"/>
        <v>12066.8492</v>
      </c>
      <c r="J363" s="8">
        <f t="shared" si="2"/>
        <v>14839.7</v>
      </c>
      <c r="K363" s="8">
        <f t="shared" si="3"/>
        <v>-2772.8508</v>
      </c>
      <c r="L363" s="9">
        <f t="shared" si="4"/>
        <v>-0.2297907891</v>
      </c>
    </row>
    <row r="364" ht="22.5" customHeight="1">
      <c r="A364" s="4" t="s">
        <v>318</v>
      </c>
      <c r="B364" s="5">
        <v>44964.0</v>
      </c>
      <c r="C364" s="4" t="s">
        <v>16</v>
      </c>
      <c r="D364" s="4" t="s">
        <v>14</v>
      </c>
      <c r="E364" s="6">
        <v>23.0</v>
      </c>
      <c r="F364" s="7">
        <v>359.99</v>
      </c>
      <c r="G364" s="7">
        <v>295.37</v>
      </c>
      <c r="H364" s="6">
        <v>1.31</v>
      </c>
      <c r="I364" s="8">
        <f t="shared" si="1"/>
        <v>6704.515019</v>
      </c>
      <c r="J364" s="8">
        <f t="shared" si="2"/>
        <v>8279.77</v>
      </c>
      <c r="K364" s="8">
        <f t="shared" si="3"/>
        <v>-1575.254981</v>
      </c>
      <c r="L364" s="9">
        <f t="shared" si="4"/>
        <v>-0.2349543519</v>
      </c>
    </row>
    <row r="365" ht="22.5" customHeight="1">
      <c r="A365" s="4" t="s">
        <v>327</v>
      </c>
      <c r="B365" s="5">
        <v>45259.0</v>
      </c>
      <c r="C365" s="4" t="s">
        <v>21</v>
      </c>
      <c r="D365" s="4" t="s">
        <v>19</v>
      </c>
      <c r="E365" s="6">
        <v>76.0</v>
      </c>
      <c r="F365" s="7">
        <v>404.72</v>
      </c>
      <c r="G365" s="7">
        <v>438.92</v>
      </c>
      <c r="H365" s="6">
        <v>25.4</v>
      </c>
      <c r="I365" s="8">
        <f t="shared" si="1"/>
        <v>24885.00832</v>
      </c>
      <c r="J365" s="8">
        <f t="shared" si="2"/>
        <v>30758.72</v>
      </c>
      <c r="K365" s="8">
        <f t="shared" si="3"/>
        <v>-5873.71168</v>
      </c>
      <c r="L365" s="9">
        <f t="shared" si="4"/>
        <v>-0.2360341457</v>
      </c>
    </row>
    <row r="366" ht="22.5" customHeight="1">
      <c r="A366" s="4" t="s">
        <v>328</v>
      </c>
      <c r="B366" s="5">
        <v>44932.0</v>
      </c>
      <c r="C366" s="4" t="s">
        <v>29</v>
      </c>
      <c r="D366" s="4" t="s">
        <v>22</v>
      </c>
      <c r="E366" s="6">
        <v>83.0</v>
      </c>
      <c r="F366" s="7">
        <v>421.84</v>
      </c>
      <c r="G366" s="7">
        <v>618.48</v>
      </c>
      <c r="H366" s="6">
        <v>45.25</v>
      </c>
      <c r="I366" s="8">
        <f t="shared" si="1"/>
        <v>28105.2774</v>
      </c>
      <c r="J366" s="8">
        <f t="shared" si="2"/>
        <v>35012.72</v>
      </c>
      <c r="K366" s="8">
        <f t="shared" si="3"/>
        <v>-6907.4426</v>
      </c>
      <c r="L366" s="9">
        <f t="shared" si="4"/>
        <v>-0.245770305</v>
      </c>
    </row>
    <row r="367" ht="22.5" customHeight="1">
      <c r="A367" s="4" t="s">
        <v>329</v>
      </c>
      <c r="B367" s="5">
        <v>45041.0</v>
      </c>
      <c r="C367" s="4" t="s">
        <v>21</v>
      </c>
      <c r="D367" s="4" t="s">
        <v>19</v>
      </c>
      <c r="E367" s="6">
        <v>15.0</v>
      </c>
      <c r="F367" s="7">
        <v>186.33</v>
      </c>
      <c r="G367" s="7">
        <v>253.97</v>
      </c>
      <c r="H367" s="6">
        <v>41.74</v>
      </c>
      <c r="I367" s="8">
        <f t="shared" si="1"/>
        <v>2219.44383</v>
      </c>
      <c r="J367" s="8">
        <f t="shared" si="2"/>
        <v>2794.95</v>
      </c>
      <c r="K367" s="8">
        <f t="shared" si="3"/>
        <v>-575.50617</v>
      </c>
      <c r="L367" s="9">
        <f t="shared" si="4"/>
        <v>-0.2593019757</v>
      </c>
    </row>
    <row r="368" ht="22.5" customHeight="1">
      <c r="A368" s="4" t="s">
        <v>330</v>
      </c>
      <c r="B368" s="5">
        <v>45021.0</v>
      </c>
      <c r="C368" s="4" t="s">
        <v>21</v>
      </c>
      <c r="D368" s="4" t="s">
        <v>22</v>
      </c>
      <c r="E368" s="6">
        <v>69.0</v>
      </c>
      <c r="F368" s="7">
        <v>409.17</v>
      </c>
      <c r="G368" s="7">
        <v>527.38</v>
      </c>
      <c r="H368" s="6">
        <v>39.24</v>
      </c>
      <c r="I368" s="8">
        <f t="shared" si="1"/>
        <v>22110.09007</v>
      </c>
      <c r="J368" s="8">
        <f t="shared" si="2"/>
        <v>28232.73</v>
      </c>
      <c r="K368" s="8">
        <f t="shared" si="3"/>
        <v>-6122.639928</v>
      </c>
      <c r="L368" s="9">
        <f t="shared" si="4"/>
        <v>-0.2769161007</v>
      </c>
    </row>
    <row r="369" ht="22.5" customHeight="1">
      <c r="A369" s="4" t="s">
        <v>190</v>
      </c>
      <c r="B369" s="5">
        <v>44968.0</v>
      </c>
      <c r="C369" s="4" t="s">
        <v>29</v>
      </c>
      <c r="D369" s="4" t="s">
        <v>19</v>
      </c>
      <c r="E369" s="6">
        <v>88.0</v>
      </c>
      <c r="F369" s="7">
        <v>468.5</v>
      </c>
      <c r="G369" s="7">
        <v>572.28</v>
      </c>
      <c r="H369" s="6">
        <v>36.45</v>
      </c>
      <c r="I369" s="8">
        <f t="shared" si="1"/>
        <v>32004.18672</v>
      </c>
      <c r="J369" s="8">
        <f t="shared" si="2"/>
        <v>41228</v>
      </c>
      <c r="K369" s="8">
        <f t="shared" si="3"/>
        <v>-9223.81328</v>
      </c>
      <c r="L369" s="9">
        <f t="shared" si="4"/>
        <v>-0.2882064575</v>
      </c>
    </row>
    <row r="370" ht="22.5" customHeight="1">
      <c r="A370" s="4" t="s">
        <v>331</v>
      </c>
      <c r="B370" s="5">
        <v>45070.0</v>
      </c>
      <c r="C370" s="4" t="s">
        <v>16</v>
      </c>
      <c r="D370" s="4" t="s">
        <v>14</v>
      </c>
      <c r="E370" s="6">
        <v>5.0</v>
      </c>
      <c r="F370" s="7">
        <v>370.66</v>
      </c>
      <c r="G370" s="7">
        <v>440.34</v>
      </c>
      <c r="H370" s="6">
        <v>34.68</v>
      </c>
      <c r="I370" s="8">
        <f t="shared" si="1"/>
        <v>1438.15044</v>
      </c>
      <c r="J370" s="8">
        <f t="shared" si="2"/>
        <v>1853.3</v>
      </c>
      <c r="K370" s="8">
        <f t="shared" si="3"/>
        <v>-415.14956</v>
      </c>
      <c r="L370" s="9">
        <f t="shared" si="4"/>
        <v>-0.2886690769</v>
      </c>
    </row>
    <row r="371" ht="22.5" customHeight="1">
      <c r="A371" s="4" t="s">
        <v>332</v>
      </c>
      <c r="B371" s="5">
        <v>45164.0</v>
      </c>
      <c r="C371" s="4" t="s">
        <v>16</v>
      </c>
      <c r="D371" s="4" t="s">
        <v>22</v>
      </c>
      <c r="E371" s="6">
        <v>71.0</v>
      </c>
      <c r="F371" s="7">
        <v>454.15</v>
      </c>
      <c r="G371" s="7">
        <v>403.11</v>
      </c>
      <c r="H371" s="6">
        <v>14.09</v>
      </c>
      <c r="I371" s="8">
        <f t="shared" si="1"/>
        <v>24588.13787</v>
      </c>
      <c r="J371" s="8">
        <f t="shared" si="2"/>
        <v>32244.65</v>
      </c>
      <c r="K371" s="8">
        <f t="shared" si="3"/>
        <v>-7656.512129</v>
      </c>
      <c r="L371" s="9">
        <f t="shared" si="4"/>
        <v>-0.3113904831</v>
      </c>
    </row>
    <row r="372" ht="22.5" customHeight="1">
      <c r="A372" s="4" t="s">
        <v>333</v>
      </c>
      <c r="B372" s="5">
        <v>45194.0</v>
      </c>
      <c r="C372" s="4" t="s">
        <v>13</v>
      </c>
      <c r="D372" s="4" t="s">
        <v>22</v>
      </c>
      <c r="E372" s="6">
        <v>22.0</v>
      </c>
      <c r="F372" s="7">
        <v>368.98</v>
      </c>
      <c r="G372" s="7">
        <v>490.01</v>
      </c>
      <c r="H372" s="6">
        <v>42.76</v>
      </c>
      <c r="I372" s="8">
        <f t="shared" si="1"/>
        <v>6170.597928</v>
      </c>
      <c r="J372" s="8">
        <f t="shared" si="2"/>
        <v>8117.56</v>
      </c>
      <c r="K372" s="8">
        <f t="shared" si="3"/>
        <v>-1946.962072</v>
      </c>
      <c r="L372" s="9">
        <f t="shared" si="4"/>
        <v>-0.3155224331</v>
      </c>
    </row>
    <row r="373" ht="22.5" customHeight="1">
      <c r="A373" s="4" t="s">
        <v>334</v>
      </c>
      <c r="B373" s="5">
        <v>44986.0</v>
      </c>
      <c r="C373" s="4" t="s">
        <v>21</v>
      </c>
      <c r="D373" s="4" t="s">
        <v>14</v>
      </c>
      <c r="E373" s="6">
        <v>96.0</v>
      </c>
      <c r="F373" s="7">
        <v>478.34</v>
      </c>
      <c r="G373" s="7">
        <v>607.38</v>
      </c>
      <c r="H373" s="6">
        <v>41.13</v>
      </c>
      <c r="I373" s="8">
        <f t="shared" si="1"/>
        <v>34326.20218</v>
      </c>
      <c r="J373" s="8">
        <f t="shared" si="2"/>
        <v>45920.64</v>
      </c>
      <c r="K373" s="8">
        <f t="shared" si="3"/>
        <v>-11594.43782</v>
      </c>
      <c r="L373" s="9">
        <f t="shared" si="4"/>
        <v>-0.3377722291</v>
      </c>
    </row>
    <row r="374" ht="22.5" customHeight="1">
      <c r="A374" s="4" t="s">
        <v>335</v>
      </c>
      <c r="B374" s="5">
        <v>45183.0</v>
      </c>
      <c r="C374" s="4" t="s">
        <v>13</v>
      </c>
      <c r="D374" s="4" t="s">
        <v>22</v>
      </c>
      <c r="E374" s="6">
        <v>4.0</v>
      </c>
      <c r="F374" s="7">
        <v>282.34</v>
      </c>
      <c r="G374" s="7">
        <v>225.36</v>
      </c>
      <c r="H374" s="6">
        <v>6.76</v>
      </c>
      <c r="I374" s="8">
        <f t="shared" si="1"/>
        <v>840.502656</v>
      </c>
      <c r="J374" s="8">
        <f t="shared" si="2"/>
        <v>1129.36</v>
      </c>
      <c r="K374" s="8">
        <f t="shared" si="3"/>
        <v>-288.857344</v>
      </c>
      <c r="L374" s="9">
        <f t="shared" si="4"/>
        <v>-0.3436721371</v>
      </c>
    </row>
    <row r="375" ht="22.5" customHeight="1">
      <c r="A375" s="4" t="s">
        <v>336</v>
      </c>
      <c r="B375" s="5">
        <v>45228.0</v>
      </c>
      <c r="C375" s="4" t="s">
        <v>21</v>
      </c>
      <c r="D375" s="4" t="s">
        <v>19</v>
      </c>
      <c r="E375" s="6">
        <v>82.0</v>
      </c>
      <c r="F375" s="7">
        <v>267.02</v>
      </c>
      <c r="G375" s="7">
        <v>390.12</v>
      </c>
      <c r="H375" s="6">
        <v>49.55</v>
      </c>
      <c r="I375" s="8">
        <f t="shared" si="1"/>
        <v>16138.87428</v>
      </c>
      <c r="J375" s="8">
        <f t="shared" si="2"/>
        <v>21895.64</v>
      </c>
      <c r="K375" s="8">
        <f t="shared" si="3"/>
        <v>-5756.76572</v>
      </c>
      <c r="L375" s="9">
        <f t="shared" si="4"/>
        <v>-0.3567018133</v>
      </c>
    </row>
    <row r="376" ht="22.5" customHeight="1">
      <c r="A376" s="4" t="s">
        <v>337</v>
      </c>
      <c r="B376" s="5">
        <v>45217.0</v>
      </c>
      <c r="C376" s="4" t="s">
        <v>13</v>
      </c>
      <c r="D376" s="4" t="s">
        <v>22</v>
      </c>
      <c r="E376" s="6">
        <v>17.0</v>
      </c>
      <c r="F376" s="7">
        <v>229.95</v>
      </c>
      <c r="G376" s="7">
        <v>336.1</v>
      </c>
      <c r="H376" s="6">
        <v>49.8</v>
      </c>
      <c r="I376" s="8">
        <f t="shared" si="1"/>
        <v>2868.2774</v>
      </c>
      <c r="J376" s="8">
        <f t="shared" si="2"/>
        <v>3909.15</v>
      </c>
      <c r="K376" s="8">
        <f t="shared" si="3"/>
        <v>-1040.8726</v>
      </c>
      <c r="L376" s="9">
        <f t="shared" si="4"/>
        <v>-0.3628911904</v>
      </c>
    </row>
    <row r="377" ht="22.5" customHeight="1">
      <c r="A377" s="4" t="s">
        <v>280</v>
      </c>
      <c r="B377" s="5">
        <v>45032.0</v>
      </c>
      <c r="C377" s="4" t="s">
        <v>16</v>
      </c>
      <c r="D377" s="4" t="s">
        <v>14</v>
      </c>
      <c r="E377" s="6">
        <v>64.0</v>
      </c>
      <c r="F377" s="7">
        <v>230.32</v>
      </c>
      <c r="G377" s="7">
        <v>221.86</v>
      </c>
      <c r="H377" s="6">
        <v>24.18</v>
      </c>
      <c r="I377" s="8">
        <f t="shared" si="1"/>
        <v>10765.71213</v>
      </c>
      <c r="J377" s="8">
        <f t="shared" si="2"/>
        <v>14740.48</v>
      </c>
      <c r="K377" s="8">
        <f t="shared" si="3"/>
        <v>-3974.767872</v>
      </c>
      <c r="L377" s="9">
        <f t="shared" si="4"/>
        <v>-0.3692062192</v>
      </c>
    </row>
    <row r="378" ht="22.5" customHeight="1">
      <c r="A378" s="4" t="s">
        <v>262</v>
      </c>
      <c r="B378" s="5">
        <v>45237.0</v>
      </c>
      <c r="C378" s="4" t="s">
        <v>29</v>
      </c>
      <c r="D378" s="4" t="s">
        <v>22</v>
      </c>
      <c r="E378" s="6">
        <v>10.0</v>
      </c>
      <c r="F378" s="7">
        <v>433.27</v>
      </c>
      <c r="G378" s="7">
        <v>376.41</v>
      </c>
      <c r="H378" s="6">
        <v>16.9</v>
      </c>
      <c r="I378" s="8">
        <f t="shared" si="1"/>
        <v>3127.9671</v>
      </c>
      <c r="J378" s="8">
        <f t="shared" si="2"/>
        <v>4332.7</v>
      </c>
      <c r="K378" s="8">
        <f t="shared" si="3"/>
        <v>-1204.7329</v>
      </c>
      <c r="L378" s="9">
        <f t="shared" si="4"/>
        <v>-0.38514884</v>
      </c>
    </row>
    <row r="379" ht="22.5" customHeight="1">
      <c r="A379" s="4" t="s">
        <v>338</v>
      </c>
      <c r="B379" s="5">
        <v>45154.0</v>
      </c>
      <c r="C379" s="4" t="s">
        <v>24</v>
      </c>
      <c r="D379" s="4" t="s">
        <v>19</v>
      </c>
      <c r="E379" s="6">
        <v>58.0</v>
      </c>
      <c r="F379" s="7">
        <v>112.31</v>
      </c>
      <c r="G379" s="7">
        <v>136.57</v>
      </c>
      <c r="H379" s="6">
        <v>41.17</v>
      </c>
      <c r="I379" s="8">
        <f t="shared" si="1"/>
        <v>4659.959598</v>
      </c>
      <c r="J379" s="8">
        <f t="shared" si="2"/>
        <v>6513.98</v>
      </c>
      <c r="K379" s="8">
        <f t="shared" si="3"/>
        <v>-1854.020402</v>
      </c>
      <c r="L379" s="9">
        <f t="shared" si="4"/>
        <v>-0.3978619048</v>
      </c>
    </row>
    <row r="380" ht="22.5" customHeight="1">
      <c r="A380" s="4" t="s">
        <v>150</v>
      </c>
      <c r="B380" s="5">
        <v>45222.0</v>
      </c>
      <c r="C380" s="4" t="s">
        <v>24</v>
      </c>
      <c r="D380" s="4" t="s">
        <v>14</v>
      </c>
      <c r="E380" s="6">
        <v>91.0</v>
      </c>
      <c r="F380" s="7">
        <v>157.8</v>
      </c>
      <c r="G380" s="7">
        <v>118.54</v>
      </c>
      <c r="H380" s="6">
        <v>4.93</v>
      </c>
      <c r="I380" s="8">
        <f t="shared" si="1"/>
        <v>10255.334</v>
      </c>
      <c r="J380" s="8">
        <f t="shared" si="2"/>
        <v>14359.8</v>
      </c>
      <c r="K380" s="8">
        <f t="shared" si="3"/>
        <v>-4104.466002</v>
      </c>
      <c r="L380" s="9">
        <f t="shared" si="4"/>
        <v>-0.4002274331</v>
      </c>
    </row>
    <row r="381" ht="22.5" customHeight="1">
      <c r="A381" s="4" t="s">
        <v>339</v>
      </c>
      <c r="B381" s="5">
        <v>45211.0</v>
      </c>
      <c r="C381" s="4" t="s">
        <v>29</v>
      </c>
      <c r="D381" s="4" t="s">
        <v>22</v>
      </c>
      <c r="E381" s="6">
        <v>83.0</v>
      </c>
      <c r="F381" s="7">
        <v>348.75</v>
      </c>
      <c r="G381" s="7">
        <v>270.34</v>
      </c>
      <c r="H381" s="6">
        <v>8.32</v>
      </c>
      <c r="I381" s="8">
        <f t="shared" si="1"/>
        <v>20571.3601</v>
      </c>
      <c r="J381" s="8">
        <f t="shared" si="2"/>
        <v>28946.25</v>
      </c>
      <c r="K381" s="8">
        <f t="shared" si="3"/>
        <v>-8374.889904</v>
      </c>
      <c r="L381" s="9">
        <f t="shared" si="4"/>
        <v>-0.4071140588</v>
      </c>
    </row>
    <row r="382" ht="22.5" customHeight="1">
      <c r="A382" s="4" t="s">
        <v>340</v>
      </c>
      <c r="B382" s="5">
        <v>45217.0</v>
      </c>
      <c r="C382" s="4" t="s">
        <v>29</v>
      </c>
      <c r="D382" s="4" t="s">
        <v>17</v>
      </c>
      <c r="E382" s="6">
        <v>16.0</v>
      </c>
      <c r="F382" s="7">
        <v>318.59</v>
      </c>
      <c r="G382" s="7">
        <v>338.86</v>
      </c>
      <c r="H382" s="6">
        <v>33.28</v>
      </c>
      <c r="I382" s="8">
        <f t="shared" si="1"/>
        <v>3617.398272</v>
      </c>
      <c r="J382" s="8">
        <f t="shared" si="2"/>
        <v>5097.44</v>
      </c>
      <c r="K382" s="8">
        <f t="shared" si="3"/>
        <v>-1480.041728</v>
      </c>
      <c r="L382" s="9">
        <f t="shared" si="4"/>
        <v>-0.4091453627</v>
      </c>
    </row>
    <row r="383" ht="22.5" customHeight="1">
      <c r="A383" s="4" t="s">
        <v>341</v>
      </c>
      <c r="B383" s="5">
        <v>45214.0</v>
      </c>
      <c r="C383" s="4" t="s">
        <v>29</v>
      </c>
      <c r="D383" s="4" t="s">
        <v>22</v>
      </c>
      <c r="E383" s="6">
        <v>61.0</v>
      </c>
      <c r="F383" s="7">
        <v>458.11</v>
      </c>
      <c r="G383" s="7">
        <v>590.18</v>
      </c>
      <c r="H383" s="6">
        <v>45.83</v>
      </c>
      <c r="I383" s="8">
        <f t="shared" si="1"/>
        <v>19501.73087</v>
      </c>
      <c r="J383" s="8">
        <f t="shared" si="2"/>
        <v>27944.71</v>
      </c>
      <c r="K383" s="8">
        <f t="shared" si="3"/>
        <v>-8442.979134</v>
      </c>
      <c r="L383" s="9">
        <f t="shared" si="4"/>
        <v>-0.4329348606</v>
      </c>
    </row>
    <row r="384" ht="22.5" customHeight="1">
      <c r="A384" s="4" t="s">
        <v>342</v>
      </c>
      <c r="B384" s="5">
        <v>45253.0</v>
      </c>
      <c r="C384" s="4" t="s">
        <v>16</v>
      </c>
      <c r="D384" s="4" t="s">
        <v>17</v>
      </c>
      <c r="E384" s="6">
        <v>98.0</v>
      </c>
      <c r="F384" s="7">
        <v>171.57</v>
      </c>
      <c r="G384" s="7">
        <v>172.06</v>
      </c>
      <c r="H384" s="6">
        <v>31.01</v>
      </c>
      <c r="I384" s="8">
        <f t="shared" si="1"/>
        <v>11633.01101</v>
      </c>
      <c r="J384" s="8">
        <f t="shared" si="2"/>
        <v>16813.86</v>
      </c>
      <c r="K384" s="8">
        <f t="shared" si="3"/>
        <v>-5180.848988</v>
      </c>
      <c r="L384" s="9">
        <f t="shared" si="4"/>
        <v>-0.4453575246</v>
      </c>
    </row>
    <row r="385" ht="22.5" customHeight="1">
      <c r="A385" s="4" t="s">
        <v>343</v>
      </c>
      <c r="B385" s="5">
        <v>45086.0</v>
      </c>
      <c r="C385" s="4" t="s">
        <v>16</v>
      </c>
      <c r="D385" s="4" t="s">
        <v>14</v>
      </c>
      <c r="E385" s="6">
        <v>12.0</v>
      </c>
      <c r="F385" s="7">
        <v>343.48</v>
      </c>
      <c r="G385" s="7">
        <v>373.74</v>
      </c>
      <c r="H385" s="6">
        <v>37.64</v>
      </c>
      <c r="I385" s="8">
        <f t="shared" si="1"/>
        <v>2796.771168</v>
      </c>
      <c r="J385" s="8">
        <f t="shared" si="2"/>
        <v>4121.76</v>
      </c>
      <c r="K385" s="8">
        <f t="shared" si="3"/>
        <v>-1324.988832</v>
      </c>
      <c r="L385" s="9">
        <f t="shared" si="4"/>
        <v>-0.4737566116</v>
      </c>
    </row>
    <row r="386" ht="22.5" customHeight="1">
      <c r="A386" s="4" t="s">
        <v>344</v>
      </c>
      <c r="B386" s="5">
        <v>45005.0</v>
      </c>
      <c r="C386" s="4" t="s">
        <v>29</v>
      </c>
      <c r="D386" s="4" t="s">
        <v>14</v>
      </c>
      <c r="E386" s="6">
        <v>70.0</v>
      </c>
      <c r="F386" s="7">
        <v>472.75</v>
      </c>
      <c r="G386" s="7">
        <v>339.47</v>
      </c>
      <c r="H386" s="6">
        <v>5.61</v>
      </c>
      <c r="I386" s="8">
        <f t="shared" si="1"/>
        <v>22429.80131</v>
      </c>
      <c r="J386" s="8">
        <f t="shared" si="2"/>
        <v>33092.5</v>
      </c>
      <c r="K386" s="8">
        <f t="shared" si="3"/>
        <v>-10662.69869</v>
      </c>
      <c r="L386" s="9">
        <f t="shared" si="4"/>
        <v>-0.4753808802</v>
      </c>
    </row>
    <row r="387" ht="22.5" customHeight="1">
      <c r="A387" s="4" t="s">
        <v>345</v>
      </c>
      <c r="B387" s="5">
        <v>45127.0</v>
      </c>
      <c r="C387" s="4" t="s">
        <v>29</v>
      </c>
      <c r="D387" s="4" t="s">
        <v>22</v>
      </c>
      <c r="E387" s="6">
        <v>75.0</v>
      </c>
      <c r="F387" s="7">
        <v>412.39</v>
      </c>
      <c r="G387" s="7">
        <v>438.44</v>
      </c>
      <c r="H387" s="6">
        <v>36.91</v>
      </c>
      <c r="I387" s="8">
        <f t="shared" si="1"/>
        <v>20745.8847</v>
      </c>
      <c r="J387" s="8">
        <f t="shared" si="2"/>
        <v>30929.25</v>
      </c>
      <c r="K387" s="8">
        <f t="shared" si="3"/>
        <v>-10183.3653</v>
      </c>
      <c r="L387" s="9">
        <f t="shared" si="4"/>
        <v>-0.4908619443</v>
      </c>
    </row>
    <row r="388" ht="22.5" customHeight="1">
      <c r="A388" s="4" t="s">
        <v>346</v>
      </c>
      <c r="B388" s="5">
        <v>45033.0</v>
      </c>
      <c r="C388" s="4" t="s">
        <v>21</v>
      </c>
      <c r="D388" s="4" t="s">
        <v>19</v>
      </c>
      <c r="E388" s="6">
        <v>20.0</v>
      </c>
      <c r="F388" s="7">
        <v>132.25</v>
      </c>
      <c r="G388" s="7">
        <v>145.76</v>
      </c>
      <c r="H388" s="6">
        <v>40.44</v>
      </c>
      <c r="I388" s="8">
        <f t="shared" si="1"/>
        <v>1736.29312</v>
      </c>
      <c r="J388" s="8">
        <f t="shared" si="2"/>
        <v>2645</v>
      </c>
      <c r="K388" s="8">
        <f t="shared" si="3"/>
        <v>-908.70688</v>
      </c>
      <c r="L388" s="9">
        <f t="shared" si="4"/>
        <v>-0.5233602953</v>
      </c>
    </row>
    <row r="389" ht="22.5" customHeight="1">
      <c r="A389" s="4" t="s">
        <v>347</v>
      </c>
      <c r="B389" s="5">
        <v>45198.0</v>
      </c>
      <c r="C389" s="4" t="s">
        <v>29</v>
      </c>
      <c r="D389" s="4" t="s">
        <v>22</v>
      </c>
      <c r="E389" s="6">
        <v>37.0</v>
      </c>
      <c r="F389" s="7">
        <v>488.89</v>
      </c>
      <c r="G389" s="7">
        <v>422.88</v>
      </c>
      <c r="H389" s="6">
        <v>24.85</v>
      </c>
      <c r="I389" s="8">
        <f t="shared" si="1"/>
        <v>11758.38984</v>
      </c>
      <c r="J389" s="8">
        <f t="shared" si="2"/>
        <v>18088.93</v>
      </c>
      <c r="K389" s="8">
        <f t="shared" si="3"/>
        <v>-6330.54016</v>
      </c>
      <c r="L389" s="9">
        <f t="shared" si="4"/>
        <v>-0.5383849529</v>
      </c>
    </row>
    <row r="390" ht="22.5" customHeight="1">
      <c r="A390" s="4" t="s">
        <v>348</v>
      </c>
      <c r="B390" s="5">
        <v>45208.0</v>
      </c>
      <c r="C390" s="4" t="s">
        <v>21</v>
      </c>
      <c r="D390" s="4" t="s">
        <v>14</v>
      </c>
      <c r="E390" s="6">
        <v>82.0</v>
      </c>
      <c r="F390" s="7">
        <v>449.06</v>
      </c>
      <c r="G390" s="7">
        <v>411.47</v>
      </c>
      <c r="H390" s="6">
        <v>29.14</v>
      </c>
      <c r="I390" s="8">
        <f t="shared" si="1"/>
        <v>23908.54664</v>
      </c>
      <c r="J390" s="8">
        <f t="shared" si="2"/>
        <v>36822.92</v>
      </c>
      <c r="K390" s="8">
        <f t="shared" si="3"/>
        <v>-12914.37336</v>
      </c>
      <c r="L390" s="9">
        <f t="shared" si="4"/>
        <v>-0.5401571893</v>
      </c>
    </row>
    <row r="391" ht="22.5" customHeight="1">
      <c r="A391" s="4" t="s">
        <v>161</v>
      </c>
      <c r="B391" s="5">
        <v>45234.0</v>
      </c>
      <c r="C391" s="4" t="s">
        <v>13</v>
      </c>
      <c r="D391" s="4" t="s">
        <v>22</v>
      </c>
      <c r="E391" s="6">
        <v>16.0</v>
      </c>
      <c r="F391" s="7">
        <v>484.1</v>
      </c>
      <c r="G391" s="7">
        <v>429.42</v>
      </c>
      <c r="H391" s="6">
        <v>27.51</v>
      </c>
      <c r="I391" s="8">
        <f t="shared" si="1"/>
        <v>4980.584928</v>
      </c>
      <c r="J391" s="8">
        <f t="shared" si="2"/>
        <v>7745.6</v>
      </c>
      <c r="K391" s="8">
        <f t="shared" si="3"/>
        <v>-2765.015072</v>
      </c>
      <c r="L391" s="9">
        <f t="shared" si="4"/>
        <v>-0.5551587036</v>
      </c>
    </row>
    <row r="392" ht="22.5" customHeight="1">
      <c r="A392" s="4" t="s">
        <v>349</v>
      </c>
      <c r="B392" s="5">
        <v>45053.0</v>
      </c>
      <c r="C392" s="4" t="s">
        <v>13</v>
      </c>
      <c r="D392" s="4" t="s">
        <v>19</v>
      </c>
      <c r="E392" s="6">
        <v>22.0</v>
      </c>
      <c r="F392" s="7">
        <v>435.57</v>
      </c>
      <c r="G392" s="7">
        <v>371.52</v>
      </c>
      <c r="H392" s="6">
        <v>24.79</v>
      </c>
      <c r="I392" s="8">
        <f t="shared" si="1"/>
        <v>6147.244224</v>
      </c>
      <c r="J392" s="8">
        <f t="shared" si="2"/>
        <v>9582.54</v>
      </c>
      <c r="K392" s="8">
        <f t="shared" si="3"/>
        <v>-3435.295776</v>
      </c>
      <c r="L392" s="9">
        <f t="shared" si="4"/>
        <v>-0.5588350895</v>
      </c>
    </row>
    <row r="393" ht="22.5" customHeight="1">
      <c r="A393" s="4" t="s">
        <v>165</v>
      </c>
      <c r="B393" s="5">
        <v>45181.0</v>
      </c>
      <c r="C393" s="4" t="s">
        <v>16</v>
      </c>
      <c r="D393" s="4" t="s">
        <v>22</v>
      </c>
      <c r="E393" s="6">
        <v>12.0</v>
      </c>
      <c r="F393" s="7">
        <v>410.91</v>
      </c>
      <c r="G393" s="7">
        <v>405.75</v>
      </c>
      <c r="H393" s="6">
        <v>35.33</v>
      </c>
      <c r="I393" s="8">
        <f t="shared" si="1"/>
        <v>3148.7823</v>
      </c>
      <c r="J393" s="8">
        <f t="shared" si="2"/>
        <v>4930.92</v>
      </c>
      <c r="K393" s="8">
        <f t="shared" si="3"/>
        <v>-1782.1377</v>
      </c>
      <c r="L393" s="9">
        <f t="shared" si="4"/>
        <v>-0.5659767905</v>
      </c>
    </row>
    <row r="394" ht="22.5" customHeight="1">
      <c r="A394" s="4" t="s">
        <v>12</v>
      </c>
      <c r="B394" s="5">
        <v>44997.0</v>
      </c>
      <c r="C394" s="4" t="s">
        <v>24</v>
      </c>
      <c r="D394" s="4" t="s">
        <v>17</v>
      </c>
      <c r="E394" s="6">
        <v>3.0</v>
      </c>
      <c r="F394" s="7">
        <v>236.14</v>
      </c>
      <c r="G394" s="7">
        <v>224.11</v>
      </c>
      <c r="H394" s="6">
        <v>34.19</v>
      </c>
      <c r="I394" s="8">
        <f t="shared" si="1"/>
        <v>442.460373</v>
      </c>
      <c r="J394" s="8">
        <f t="shared" si="2"/>
        <v>708.42</v>
      </c>
      <c r="K394" s="8">
        <f t="shared" si="3"/>
        <v>-265.959627</v>
      </c>
      <c r="L394" s="9">
        <f t="shared" si="4"/>
        <v>-0.6010925344</v>
      </c>
    </row>
    <row r="395" ht="22.5" customHeight="1">
      <c r="A395" s="4" t="s">
        <v>154</v>
      </c>
      <c r="B395" s="5">
        <v>45063.0</v>
      </c>
      <c r="C395" s="4" t="s">
        <v>16</v>
      </c>
      <c r="D395" s="4" t="s">
        <v>14</v>
      </c>
      <c r="E395" s="6">
        <v>48.0</v>
      </c>
      <c r="F395" s="7">
        <v>368.0</v>
      </c>
      <c r="G395" s="7">
        <v>385.53</v>
      </c>
      <c r="H395" s="6">
        <v>40.56</v>
      </c>
      <c r="I395" s="8">
        <f t="shared" si="1"/>
        <v>10999.63354</v>
      </c>
      <c r="J395" s="8">
        <f t="shared" si="2"/>
        <v>17664</v>
      </c>
      <c r="K395" s="8">
        <f t="shared" si="3"/>
        <v>-6664.366464</v>
      </c>
      <c r="L395" s="9">
        <f t="shared" si="4"/>
        <v>-0.6058716813</v>
      </c>
    </row>
    <row r="396" ht="22.5" customHeight="1">
      <c r="A396" s="4" t="s">
        <v>350</v>
      </c>
      <c r="B396" s="5">
        <v>45023.0</v>
      </c>
      <c r="C396" s="4" t="s">
        <v>29</v>
      </c>
      <c r="D396" s="4" t="s">
        <v>14</v>
      </c>
      <c r="E396" s="6">
        <v>98.0</v>
      </c>
      <c r="F396" s="7">
        <v>304.0</v>
      </c>
      <c r="G396" s="7">
        <v>333.72</v>
      </c>
      <c r="H396" s="6">
        <v>44.46</v>
      </c>
      <c r="I396" s="8">
        <f t="shared" si="1"/>
        <v>18164.11262</v>
      </c>
      <c r="J396" s="8">
        <f t="shared" si="2"/>
        <v>29792</v>
      </c>
      <c r="K396" s="8">
        <f t="shared" si="3"/>
        <v>-11627.88738</v>
      </c>
      <c r="L396" s="9">
        <f t="shared" si="4"/>
        <v>-0.6401571944</v>
      </c>
    </row>
    <row r="397" ht="22.5" customHeight="1">
      <c r="A397" s="4" t="s">
        <v>284</v>
      </c>
      <c r="B397" s="5">
        <v>45138.0</v>
      </c>
      <c r="C397" s="4" t="s">
        <v>13</v>
      </c>
      <c r="D397" s="4" t="s">
        <v>17</v>
      </c>
      <c r="E397" s="6">
        <v>32.0</v>
      </c>
      <c r="F397" s="7">
        <v>459.97</v>
      </c>
      <c r="G397" s="7">
        <v>429.51</v>
      </c>
      <c r="H397" s="6">
        <v>35.21</v>
      </c>
      <c r="I397" s="8">
        <f t="shared" si="1"/>
        <v>8904.944928</v>
      </c>
      <c r="J397" s="8">
        <f t="shared" si="2"/>
        <v>14719.04</v>
      </c>
      <c r="K397" s="8">
        <f t="shared" si="3"/>
        <v>-5814.095072</v>
      </c>
      <c r="L397" s="9">
        <f t="shared" si="4"/>
        <v>-0.652906348</v>
      </c>
    </row>
    <row r="398" ht="22.5" customHeight="1">
      <c r="A398" s="4" t="s">
        <v>351</v>
      </c>
      <c r="B398" s="5">
        <v>45256.0</v>
      </c>
      <c r="C398" s="4" t="s">
        <v>29</v>
      </c>
      <c r="D398" s="4" t="s">
        <v>19</v>
      </c>
      <c r="E398" s="6">
        <v>17.0</v>
      </c>
      <c r="F398" s="7">
        <v>312.26</v>
      </c>
      <c r="G398" s="7">
        <v>259.97</v>
      </c>
      <c r="H398" s="6">
        <v>27.82</v>
      </c>
      <c r="I398" s="8">
        <f t="shared" si="1"/>
        <v>3189.987882</v>
      </c>
      <c r="J398" s="8">
        <f t="shared" si="2"/>
        <v>5308.42</v>
      </c>
      <c r="K398" s="8">
        <f t="shared" si="3"/>
        <v>-2118.432118</v>
      </c>
      <c r="L398" s="9">
        <f t="shared" si="4"/>
        <v>-0.6640878261</v>
      </c>
    </row>
    <row r="399" ht="22.5" customHeight="1">
      <c r="A399" s="4" t="s">
        <v>352</v>
      </c>
      <c r="B399" s="5">
        <v>45210.0</v>
      </c>
      <c r="C399" s="4" t="s">
        <v>24</v>
      </c>
      <c r="D399" s="4" t="s">
        <v>14</v>
      </c>
      <c r="E399" s="6">
        <v>63.0</v>
      </c>
      <c r="F399" s="7">
        <v>309.5</v>
      </c>
      <c r="G399" s="7">
        <v>246.5</v>
      </c>
      <c r="H399" s="6">
        <v>24.93</v>
      </c>
      <c r="I399" s="8">
        <f t="shared" si="1"/>
        <v>11657.99565</v>
      </c>
      <c r="J399" s="8">
        <f t="shared" si="2"/>
        <v>19498.5</v>
      </c>
      <c r="K399" s="8">
        <f t="shared" si="3"/>
        <v>-7840.50435</v>
      </c>
      <c r="L399" s="9">
        <f t="shared" si="4"/>
        <v>-0.6725430842</v>
      </c>
    </row>
    <row r="400" ht="22.5" customHeight="1">
      <c r="A400" s="4" t="s">
        <v>353</v>
      </c>
      <c r="B400" s="5">
        <v>45106.0</v>
      </c>
      <c r="C400" s="4" t="s">
        <v>24</v>
      </c>
      <c r="D400" s="4" t="s">
        <v>17</v>
      </c>
      <c r="E400" s="6">
        <v>39.0</v>
      </c>
      <c r="F400" s="7">
        <v>359.87</v>
      </c>
      <c r="G400" s="7">
        <v>326.06</v>
      </c>
      <c r="H400" s="6">
        <v>34.09</v>
      </c>
      <c r="I400" s="8">
        <f t="shared" si="1"/>
        <v>8381.339694</v>
      </c>
      <c r="J400" s="8">
        <f t="shared" si="2"/>
        <v>14034.93</v>
      </c>
      <c r="K400" s="8">
        <f t="shared" si="3"/>
        <v>-5653.590306</v>
      </c>
      <c r="L400" s="9">
        <f t="shared" si="4"/>
        <v>-0.674544943</v>
      </c>
    </row>
    <row r="401" ht="22.5" customHeight="1">
      <c r="A401" s="4" t="s">
        <v>354</v>
      </c>
      <c r="B401" s="5">
        <v>45072.0</v>
      </c>
      <c r="C401" s="4" t="s">
        <v>13</v>
      </c>
      <c r="D401" s="4" t="s">
        <v>14</v>
      </c>
      <c r="E401" s="6">
        <v>49.0</v>
      </c>
      <c r="F401" s="7">
        <v>389.81</v>
      </c>
      <c r="G401" s="7">
        <v>354.13</v>
      </c>
      <c r="H401" s="6">
        <v>34.41</v>
      </c>
      <c r="I401" s="8">
        <f t="shared" si="1"/>
        <v>11381.41948</v>
      </c>
      <c r="J401" s="8">
        <f t="shared" si="2"/>
        <v>19100.69</v>
      </c>
      <c r="K401" s="8">
        <f t="shared" si="3"/>
        <v>-7719.270517</v>
      </c>
      <c r="L401" s="9">
        <f t="shared" si="4"/>
        <v>-0.6782344266</v>
      </c>
    </row>
    <row r="402" ht="22.5" customHeight="1">
      <c r="A402" s="4" t="s">
        <v>355</v>
      </c>
      <c r="B402" s="5">
        <v>45035.0</v>
      </c>
      <c r="C402" s="4" t="s">
        <v>24</v>
      </c>
      <c r="D402" s="4" t="s">
        <v>14</v>
      </c>
      <c r="E402" s="6">
        <v>90.0</v>
      </c>
      <c r="F402" s="7">
        <v>27.6</v>
      </c>
      <c r="G402" s="7">
        <v>27.96</v>
      </c>
      <c r="H402" s="6">
        <v>41.42</v>
      </c>
      <c r="I402" s="8">
        <f t="shared" si="1"/>
        <v>1474.10712</v>
      </c>
      <c r="J402" s="8">
        <f t="shared" si="2"/>
        <v>2484</v>
      </c>
      <c r="K402" s="8">
        <f t="shared" si="3"/>
        <v>-1009.89288</v>
      </c>
      <c r="L402" s="9">
        <f t="shared" si="4"/>
        <v>-0.6850878517</v>
      </c>
    </row>
    <row r="403" ht="22.5" customHeight="1">
      <c r="A403" s="4" t="s">
        <v>356</v>
      </c>
      <c r="B403" s="5">
        <v>45240.0</v>
      </c>
      <c r="C403" s="4" t="s">
        <v>13</v>
      </c>
      <c r="D403" s="4" t="s">
        <v>17</v>
      </c>
      <c r="E403" s="6">
        <v>78.0</v>
      </c>
      <c r="F403" s="7">
        <v>165.85</v>
      </c>
      <c r="G403" s="7">
        <v>98.75</v>
      </c>
      <c r="H403" s="6">
        <v>0.61</v>
      </c>
      <c r="I403" s="8">
        <f t="shared" si="1"/>
        <v>7655.51475</v>
      </c>
      <c r="J403" s="8">
        <f t="shared" si="2"/>
        <v>12936.3</v>
      </c>
      <c r="K403" s="8">
        <f t="shared" si="3"/>
        <v>-5280.78525</v>
      </c>
      <c r="L403" s="9">
        <f t="shared" si="4"/>
        <v>-0.6898014598</v>
      </c>
    </row>
    <row r="404" ht="22.5" customHeight="1">
      <c r="A404" s="4" t="s">
        <v>44</v>
      </c>
      <c r="B404" s="5">
        <v>45213.0</v>
      </c>
      <c r="C404" s="4" t="s">
        <v>16</v>
      </c>
      <c r="D404" s="4" t="s">
        <v>14</v>
      </c>
      <c r="E404" s="6">
        <v>92.0</v>
      </c>
      <c r="F404" s="7">
        <v>316.46</v>
      </c>
      <c r="G404" s="7">
        <v>231.58</v>
      </c>
      <c r="H404" s="6">
        <v>19.31</v>
      </c>
      <c r="I404" s="8">
        <f t="shared" si="1"/>
        <v>17191.29498</v>
      </c>
      <c r="J404" s="8">
        <f t="shared" si="2"/>
        <v>29114.32</v>
      </c>
      <c r="K404" s="8">
        <f t="shared" si="3"/>
        <v>-11923.02502</v>
      </c>
      <c r="L404" s="9">
        <f t="shared" si="4"/>
        <v>-0.6935501384</v>
      </c>
    </row>
    <row r="405" ht="22.5" customHeight="1">
      <c r="A405" s="4" t="s">
        <v>357</v>
      </c>
      <c r="B405" s="5">
        <v>45262.0</v>
      </c>
      <c r="C405" s="4" t="s">
        <v>16</v>
      </c>
      <c r="D405" s="4" t="s">
        <v>14</v>
      </c>
      <c r="E405" s="6">
        <v>72.0</v>
      </c>
      <c r="F405" s="7">
        <v>467.23</v>
      </c>
      <c r="G405" s="7">
        <v>469.18</v>
      </c>
      <c r="H405" s="6">
        <v>41.31</v>
      </c>
      <c r="I405" s="8">
        <f t="shared" si="1"/>
        <v>19826.04542</v>
      </c>
      <c r="J405" s="8">
        <f t="shared" si="2"/>
        <v>33640.56</v>
      </c>
      <c r="K405" s="8">
        <f t="shared" si="3"/>
        <v>-13814.51458</v>
      </c>
      <c r="L405" s="9">
        <f t="shared" si="4"/>
        <v>-0.6967861861</v>
      </c>
    </row>
    <row r="406" ht="22.5" customHeight="1">
      <c r="A406" s="4" t="s">
        <v>358</v>
      </c>
      <c r="B406" s="5">
        <v>45121.0</v>
      </c>
      <c r="C406" s="4" t="s">
        <v>21</v>
      </c>
      <c r="D406" s="4" t="s">
        <v>19</v>
      </c>
      <c r="E406" s="6">
        <v>50.0</v>
      </c>
      <c r="F406" s="7">
        <v>297.06</v>
      </c>
      <c r="G406" s="7">
        <v>213.69</v>
      </c>
      <c r="H406" s="6">
        <v>18.55</v>
      </c>
      <c r="I406" s="8">
        <f t="shared" si="1"/>
        <v>8702.52525</v>
      </c>
      <c r="J406" s="8">
        <f t="shared" si="2"/>
        <v>14853</v>
      </c>
      <c r="K406" s="8">
        <f t="shared" si="3"/>
        <v>-6150.47475</v>
      </c>
      <c r="L406" s="9">
        <f t="shared" si="4"/>
        <v>-0.7067459816</v>
      </c>
    </row>
    <row r="407" ht="22.5" customHeight="1">
      <c r="A407" s="4" t="s">
        <v>18</v>
      </c>
      <c r="B407" s="5">
        <v>45160.0</v>
      </c>
      <c r="C407" s="4" t="s">
        <v>13</v>
      </c>
      <c r="D407" s="4" t="s">
        <v>17</v>
      </c>
      <c r="E407" s="6">
        <v>87.0</v>
      </c>
      <c r="F407" s="7">
        <v>406.92</v>
      </c>
      <c r="G407" s="7">
        <v>283.54</v>
      </c>
      <c r="H407" s="6">
        <v>16.23</v>
      </c>
      <c r="I407" s="8">
        <f t="shared" si="1"/>
        <v>20664.36685</v>
      </c>
      <c r="J407" s="8">
        <f t="shared" si="2"/>
        <v>35402.04</v>
      </c>
      <c r="K407" s="8">
        <f t="shared" si="3"/>
        <v>-14737.67315</v>
      </c>
      <c r="L407" s="9">
        <f t="shared" si="4"/>
        <v>-0.7131925824</v>
      </c>
    </row>
    <row r="408" ht="22.5" customHeight="1">
      <c r="A408" s="4" t="s">
        <v>359</v>
      </c>
      <c r="B408" s="5">
        <v>45111.0</v>
      </c>
      <c r="C408" s="4" t="s">
        <v>24</v>
      </c>
      <c r="D408" s="4" t="s">
        <v>14</v>
      </c>
      <c r="E408" s="6">
        <v>42.0</v>
      </c>
      <c r="F408" s="7">
        <v>400.45</v>
      </c>
      <c r="G408" s="7">
        <v>237.15</v>
      </c>
      <c r="H408" s="6">
        <v>1.5</v>
      </c>
      <c r="I408" s="8">
        <f t="shared" si="1"/>
        <v>9810.8955</v>
      </c>
      <c r="J408" s="8">
        <f t="shared" si="2"/>
        <v>16818.9</v>
      </c>
      <c r="K408" s="8">
        <f t="shared" si="3"/>
        <v>-7008.0045</v>
      </c>
      <c r="L408" s="9">
        <f t="shared" si="4"/>
        <v>-0.7143083422</v>
      </c>
    </row>
    <row r="409" ht="22.5" customHeight="1">
      <c r="A409" s="4" t="s">
        <v>303</v>
      </c>
      <c r="B409" s="5">
        <v>44958.0</v>
      </c>
      <c r="C409" s="4" t="s">
        <v>24</v>
      </c>
      <c r="D409" s="4" t="s">
        <v>14</v>
      </c>
      <c r="E409" s="6">
        <v>19.0</v>
      </c>
      <c r="F409" s="7">
        <v>235.58</v>
      </c>
      <c r="G409" s="7">
        <v>174.2</v>
      </c>
      <c r="H409" s="6">
        <v>21.24</v>
      </c>
      <c r="I409" s="8">
        <f t="shared" si="1"/>
        <v>2606.79848</v>
      </c>
      <c r="J409" s="8">
        <f t="shared" si="2"/>
        <v>4476.02</v>
      </c>
      <c r="K409" s="8">
        <f t="shared" si="3"/>
        <v>-1869.22152</v>
      </c>
      <c r="L409" s="9">
        <f t="shared" si="4"/>
        <v>-0.7170563948</v>
      </c>
    </row>
    <row r="410" ht="22.5" customHeight="1">
      <c r="A410" s="4" t="s">
        <v>360</v>
      </c>
      <c r="B410" s="5">
        <v>45005.0</v>
      </c>
      <c r="C410" s="4" t="s">
        <v>21</v>
      </c>
      <c r="D410" s="4" t="s">
        <v>19</v>
      </c>
      <c r="E410" s="6">
        <v>67.0</v>
      </c>
      <c r="F410" s="7">
        <v>390.5</v>
      </c>
      <c r="G410" s="7">
        <v>287.3</v>
      </c>
      <c r="H410" s="6">
        <v>21.0</v>
      </c>
      <c r="I410" s="8">
        <f t="shared" si="1"/>
        <v>15206.789</v>
      </c>
      <c r="J410" s="8">
        <f t="shared" si="2"/>
        <v>26163.5</v>
      </c>
      <c r="K410" s="8">
        <f t="shared" si="3"/>
        <v>-10956.711</v>
      </c>
      <c r="L410" s="9">
        <f t="shared" si="4"/>
        <v>-0.720514436</v>
      </c>
    </row>
    <row r="411" ht="22.5" customHeight="1">
      <c r="A411" s="4" t="s">
        <v>361</v>
      </c>
      <c r="B411" s="5">
        <v>44927.0</v>
      </c>
      <c r="C411" s="4" t="s">
        <v>16</v>
      </c>
      <c r="D411" s="4" t="s">
        <v>19</v>
      </c>
      <c r="E411" s="6">
        <v>53.0</v>
      </c>
      <c r="F411" s="7">
        <v>252.72</v>
      </c>
      <c r="G411" s="7">
        <v>218.46</v>
      </c>
      <c r="H411" s="6">
        <v>34.16</v>
      </c>
      <c r="I411" s="8">
        <f t="shared" si="1"/>
        <v>7623.205392</v>
      </c>
      <c r="J411" s="8">
        <f t="shared" si="2"/>
        <v>13394.16</v>
      </c>
      <c r="K411" s="8">
        <f t="shared" si="3"/>
        <v>-5770.954608</v>
      </c>
      <c r="L411" s="9">
        <f t="shared" si="4"/>
        <v>-0.7570246781</v>
      </c>
    </row>
    <row r="412" ht="22.5" customHeight="1">
      <c r="A412" s="4" t="s">
        <v>354</v>
      </c>
      <c r="B412" s="5">
        <v>45065.0</v>
      </c>
      <c r="C412" s="4" t="s">
        <v>24</v>
      </c>
      <c r="D412" s="4" t="s">
        <v>19</v>
      </c>
      <c r="E412" s="6">
        <v>62.0</v>
      </c>
      <c r="F412" s="7">
        <v>401.86</v>
      </c>
      <c r="G412" s="7">
        <v>312.18</v>
      </c>
      <c r="H412" s="6">
        <v>27.03</v>
      </c>
      <c r="I412" s="8">
        <f t="shared" si="1"/>
        <v>14123.46025</v>
      </c>
      <c r="J412" s="8">
        <f t="shared" si="2"/>
        <v>24915.32</v>
      </c>
      <c r="K412" s="8">
        <f t="shared" si="3"/>
        <v>-10791.85975</v>
      </c>
      <c r="L412" s="9">
        <f t="shared" si="4"/>
        <v>-0.7641087634</v>
      </c>
    </row>
    <row r="413" ht="22.5" customHeight="1">
      <c r="A413" s="4" t="s">
        <v>312</v>
      </c>
      <c r="B413" s="5">
        <v>45198.0</v>
      </c>
      <c r="C413" s="4" t="s">
        <v>24</v>
      </c>
      <c r="D413" s="4" t="s">
        <v>19</v>
      </c>
      <c r="E413" s="6">
        <v>55.0</v>
      </c>
      <c r="F413" s="7">
        <v>218.62</v>
      </c>
      <c r="G413" s="7">
        <v>189.11</v>
      </c>
      <c r="H413" s="6">
        <v>34.5</v>
      </c>
      <c r="I413" s="8">
        <f t="shared" si="1"/>
        <v>6812.68775</v>
      </c>
      <c r="J413" s="8">
        <f t="shared" si="2"/>
        <v>12024.1</v>
      </c>
      <c r="K413" s="8">
        <f t="shared" si="3"/>
        <v>-5211.41225</v>
      </c>
      <c r="L413" s="9">
        <f t="shared" si="4"/>
        <v>-0.764956863</v>
      </c>
    </row>
    <row r="414" ht="22.5" customHeight="1">
      <c r="A414" s="4" t="s">
        <v>145</v>
      </c>
      <c r="B414" s="5">
        <v>45259.0</v>
      </c>
      <c r="C414" s="4" t="s">
        <v>21</v>
      </c>
      <c r="D414" s="4" t="s">
        <v>22</v>
      </c>
      <c r="E414" s="6">
        <v>42.0</v>
      </c>
      <c r="F414" s="7">
        <v>314.92</v>
      </c>
      <c r="G414" s="7">
        <v>316.92</v>
      </c>
      <c r="H414" s="6">
        <v>44.13</v>
      </c>
      <c r="I414" s="8">
        <f t="shared" si="1"/>
        <v>7436.654568</v>
      </c>
      <c r="J414" s="8">
        <f t="shared" si="2"/>
        <v>13226.64</v>
      </c>
      <c r="K414" s="8">
        <f t="shared" si="3"/>
        <v>-5789.985432</v>
      </c>
      <c r="L414" s="9">
        <f t="shared" si="4"/>
        <v>-0.7785739379</v>
      </c>
    </row>
    <row r="415" ht="22.5" customHeight="1">
      <c r="A415" s="4" t="s">
        <v>362</v>
      </c>
      <c r="B415" s="5">
        <v>44958.0</v>
      </c>
      <c r="C415" s="4" t="s">
        <v>13</v>
      </c>
      <c r="D415" s="4" t="s">
        <v>14</v>
      </c>
      <c r="E415" s="6">
        <v>33.0</v>
      </c>
      <c r="F415" s="7">
        <v>338.83</v>
      </c>
      <c r="G415" s="7">
        <v>372.22</v>
      </c>
      <c r="H415" s="6">
        <v>49.38</v>
      </c>
      <c r="I415" s="8">
        <f t="shared" si="1"/>
        <v>6217.786212</v>
      </c>
      <c r="J415" s="8">
        <f t="shared" si="2"/>
        <v>11181.39</v>
      </c>
      <c r="K415" s="8">
        <f t="shared" si="3"/>
        <v>-4963.603788</v>
      </c>
      <c r="L415" s="9">
        <f t="shared" si="4"/>
        <v>-0.7982911632</v>
      </c>
    </row>
    <row r="416" ht="22.5" customHeight="1">
      <c r="A416" s="4" t="s">
        <v>363</v>
      </c>
      <c r="B416" s="5">
        <v>44937.0</v>
      </c>
      <c r="C416" s="4" t="s">
        <v>24</v>
      </c>
      <c r="D416" s="4" t="s">
        <v>22</v>
      </c>
      <c r="E416" s="6">
        <v>64.0</v>
      </c>
      <c r="F416" s="7">
        <v>203.54</v>
      </c>
      <c r="G416" s="7">
        <v>202.21</v>
      </c>
      <c r="H416" s="6">
        <v>46.58</v>
      </c>
      <c r="I416" s="8">
        <f t="shared" si="1"/>
        <v>6913.317248</v>
      </c>
      <c r="J416" s="8">
        <f t="shared" si="2"/>
        <v>13026.56</v>
      </c>
      <c r="K416" s="8">
        <f t="shared" si="3"/>
        <v>-6113.242752</v>
      </c>
      <c r="L416" s="9">
        <f t="shared" si="4"/>
        <v>-0.8842705365</v>
      </c>
    </row>
    <row r="417" ht="22.5" customHeight="1">
      <c r="A417" s="4" t="s">
        <v>209</v>
      </c>
      <c r="B417" s="5">
        <v>45282.0</v>
      </c>
      <c r="C417" s="4" t="s">
        <v>21</v>
      </c>
      <c r="D417" s="4" t="s">
        <v>22</v>
      </c>
      <c r="E417" s="6">
        <v>72.0</v>
      </c>
      <c r="F417" s="7">
        <v>375.35</v>
      </c>
      <c r="G417" s="7">
        <v>259.75</v>
      </c>
      <c r="H417" s="6">
        <v>25.44</v>
      </c>
      <c r="I417" s="8">
        <f t="shared" si="1"/>
        <v>13944.2112</v>
      </c>
      <c r="J417" s="8">
        <f t="shared" si="2"/>
        <v>27025.2</v>
      </c>
      <c r="K417" s="8">
        <f t="shared" si="3"/>
        <v>-13080.9888</v>
      </c>
      <c r="L417" s="9">
        <f t="shared" si="4"/>
        <v>-0.9380945693</v>
      </c>
    </row>
    <row r="418" ht="22.5" customHeight="1">
      <c r="A418" s="4" t="s">
        <v>364</v>
      </c>
      <c r="B418" s="5">
        <v>45094.0</v>
      </c>
      <c r="C418" s="4" t="s">
        <v>29</v>
      </c>
      <c r="D418" s="4" t="s">
        <v>14</v>
      </c>
      <c r="E418" s="6">
        <v>82.0</v>
      </c>
      <c r="F418" s="7">
        <v>139.22</v>
      </c>
      <c r="G418" s="7">
        <v>80.17</v>
      </c>
      <c r="H418" s="6">
        <v>10.9</v>
      </c>
      <c r="I418" s="8">
        <f t="shared" si="1"/>
        <v>5857.38054</v>
      </c>
      <c r="J418" s="8">
        <f t="shared" si="2"/>
        <v>11416.04</v>
      </c>
      <c r="K418" s="8">
        <f t="shared" si="3"/>
        <v>-5558.65946</v>
      </c>
      <c r="L418" s="9">
        <f t="shared" si="4"/>
        <v>-0.9490009095</v>
      </c>
    </row>
    <row r="419" ht="22.5" customHeight="1">
      <c r="A419" s="4" t="s">
        <v>365</v>
      </c>
      <c r="B419" s="5">
        <v>45096.0</v>
      </c>
      <c r="C419" s="4" t="s">
        <v>16</v>
      </c>
      <c r="D419" s="4" t="s">
        <v>22</v>
      </c>
      <c r="E419" s="6">
        <v>87.0</v>
      </c>
      <c r="F419" s="7">
        <v>311.92</v>
      </c>
      <c r="G419" s="7">
        <v>316.77</v>
      </c>
      <c r="H419" s="6">
        <v>49.56</v>
      </c>
      <c r="I419" s="8">
        <f t="shared" si="1"/>
        <v>13900.75456</v>
      </c>
      <c r="J419" s="8">
        <f t="shared" si="2"/>
        <v>27137.04</v>
      </c>
      <c r="K419" s="8">
        <f t="shared" si="3"/>
        <v>-13236.28544</v>
      </c>
      <c r="L419" s="9">
        <f t="shared" si="4"/>
        <v>-0.9521990616</v>
      </c>
    </row>
    <row r="420" ht="22.5" customHeight="1">
      <c r="A420" s="4" t="s">
        <v>366</v>
      </c>
      <c r="B420" s="5">
        <v>45222.0</v>
      </c>
      <c r="C420" s="4" t="s">
        <v>21</v>
      </c>
      <c r="D420" s="4" t="s">
        <v>14</v>
      </c>
      <c r="E420" s="6">
        <v>66.0</v>
      </c>
      <c r="F420" s="7">
        <v>476.26</v>
      </c>
      <c r="G420" s="7">
        <v>293.25</v>
      </c>
      <c r="H420" s="6">
        <v>17.06</v>
      </c>
      <c r="I420" s="8">
        <f t="shared" si="1"/>
        <v>16052.6223</v>
      </c>
      <c r="J420" s="8">
        <f t="shared" si="2"/>
        <v>31433.16</v>
      </c>
      <c r="K420" s="8">
        <f t="shared" si="3"/>
        <v>-15380.5377</v>
      </c>
      <c r="L420" s="9">
        <f t="shared" si="4"/>
        <v>-0.9581324106</v>
      </c>
    </row>
    <row r="421" ht="22.5" customHeight="1">
      <c r="A421" s="4" t="s">
        <v>367</v>
      </c>
      <c r="B421" s="5">
        <v>45125.0</v>
      </c>
      <c r="C421" s="4" t="s">
        <v>16</v>
      </c>
      <c r="D421" s="4" t="s">
        <v>19</v>
      </c>
      <c r="E421" s="6">
        <v>61.0</v>
      </c>
      <c r="F421" s="7">
        <v>499.83</v>
      </c>
      <c r="G421" s="7">
        <v>275.08</v>
      </c>
      <c r="H421" s="6">
        <v>9.8</v>
      </c>
      <c r="I421" s="8">
        <f t="shared" si="1"/>
        <v>15135.45176</v>
      </c>
      <c r="J421" s="8">
        <f t="shared" si="2"/>
        <v>30489.63</v>
      </c>
      <c r="K421" s="8">
        <f t="shared" si="3"/>
        <v>-15354.17824</v>
      </c>
      <c r="L421" s="9">
        <f t="shared" si="4"/>
        <v>-1.014451269</v>
      </c>
    </row>
    <row r="422" ht="22.5" customHeight="1">
      <c r="A422" s="4" t="s">
        <v>368</v>
      </c>
      <c r="B422" s="5">
        <v>45267.0</v>
      </c>
      <c r="C422" s="4" t="s">
        <v>21</v>
      </c>
      <c r="D422" s="4" t="s">
        <v>22</v>
      </c>
      <c r="E422" s="6">
        <v>56.0</v>
      </c>
      <c r="F422" s="7">
        <v>134.99</v>
      </c>
      <c r="G422" s="7">
        <v>114.34</v>
      </c>
      <c r="H422" s="6">
        <v>44.66</v>
      </c>
      <c r="I422" s="8">
        <f t="shared" si="1"/>
        <v>3543.442336</v>
      </c>
      <c r="J422" s="8">
        <f t="shared" si="2"/>
        <v>7559.44</v>
      </c>
      <c r="K422" s="8">
        <f t="shared" si="3"/>
        <v>-4015.997664</v>
      </c>
      <c r="L422" s="9">
        <f t="shared" si="4"/>
        <v>-1.133360524</v>
      </c>
    </row>
    <row r="423" ht="22.5" customHeight="1">
      <c r="A423" s="4" t="s">
        <v>369</v>
      </c>
      <c r="B423" s="5">
        <v>45258.0</v>
      </c>
      <c r="C423" s="4" t="s">
        <v>29</v>
      </c>
      <c r="D423" s="4" t="s">
        <v>14</v>
      </c>
      <c r="E423" s="6">
        <v>20.0</v>
      </c>
      <c r="F423" s="7">
        <v>223.02</v>
      </c>
      <c r="G423" s="7">
        <v>143.03</v>
      </c>
      <c r="H423" s="6">
        <v>28.76</v>
      </c>
      <c r="I423" s="8">
        <f t="shared" si="1"/>
        <v>2037.89144</v>
      </c>
      <c r="J423" s="8">
        <f t="shared" si="2"/>
        <v>4460.4</v>
      </c>
      <c r="K423" s="8">
        <f t="shared" si="3"/>
        <v>-2422.50856</v>
      </c>
      <c r="L423" s="9">
        <f t="shared" si="4"/>
        <v>-1.18873288</v>
      </c>
    </row>
    <row r="424" ht="22.5" customHeight="1">
      <c r="A424" s="4" t="s">
        <v>66</v>
      </c>
      <c r="B424" s="5">
        <v>45187.0</v>
      </c>
      <c r="C424" s="4" t="s">
        <v>29</v>
      </c>
      <c r="D424" s="4" t="s">
        <v>22</v>
      </c>
      <c r="E424" s="6">
        <v>72.0</v>
      </c>
      <c r="F424" s="7">
        <v>367.19</v>
      </c>
      <c r="G424" s="7">
        <v>263.26</v>
      </c>
      <c r="H424" s="6">
        <v>38.06</v>
      </c>
      <c r="I424" s="8">
        <f t="shared" si="1"/>
        <v>11740.55357</v>
      </c>
      <c r="J424" s="8">
        <f t="shared" si="2"/>
        <v>26437.68</v>
      </c>
      <c r="K424" s="8">
        <f t="shared" si="3"/>
        <v>-14697.12643</v>
      </c>
      <c r="L424" s="9">
        <f t="shared" si="4"/>
        <v>-1.251825678</v>
      </c>
    </row>
    <row r="425" ht="22.5" customHeight="1">
      <c r="A425" s="4" t="s">
        <v>370</v>
      </c>
      <c r="B425" s="5">
        <v>45127.0</v>
      </c>
      <c r="C425" s="4" t="s">
        <v>24</v>
      </c>
      <c r="D425" s="4" t="s">
        <v>17</v>
      </c>
      <c r="E425" s="6">
        <v>90.0</v>
      </c>
      <c r="F425" s="7">
        <v>335.52</v>
      </c>
      <c r="G425" s="7">
        <v>191.67</v>
      </c>
      <c r="H425" s="6">
        <v>22.35</v>
      </c>
      <c r="I425" s="8">
        <f t="shared" si="1"/>
        <v>13394.85795</v>
      </c>
      <c r="J425" s="8">
        <f t="shared" si="2"/>
        <v>30196.8</v>
      </c>
      <c r="K425" s="8">
        <f t="shared" si="3"/>
        <v>-16801.94205</v>
      </c>
      <c r="L425" s="9">
        <f t="shared" si="4"/>
        <v>-1.254357613</v>
      </c>
    </row>
    <row r="426" ht="22.5" customHeight="1">
      <c r="A426" s="4" t="s">
        <v>87</v>
      </c>
      <c r="B426" s="5">
        <v>45258.0</v>
      </c>
      <c r="C426" s="4" t="s">
        <v>24</v>
      </c>
      <c r="D426" s="4" t="s">
        <v>19</v>
      </c>
      <c r="E426" s="6">
        <v>8.0</v>
      </c>
      <c r="F426" s="7">
        <v>195.31</v>
      </c>
      <c r="G426" s="7">
        <v>90.07</v>
      </c>
      <c r="H426" s="6">
        <v>4.53</v>
      </c>
      <c r="I426" s="8">
        <f t="shared" si="1"/>
        <v>687.918632</v>
      </c>
      <c r="J426" s="8">
        <f t="shared" si="2"/>
        <v>1562.48</v>
      </c>
      <c r="K426" s="8">
        <f t="shared" si="3"/>
        <v>-874.561368</v>
      </c>
      <c r="L426" s="9">
        <f t="shared" si="4"/>
        <v>-1.271315134</v>
      </c>
    </row>
    <row r="427" ht="22.5" customHeight="1">
      <c r="A427" s="4" t="s">
        <v>371</v>
      </c>
      <c r="B427" s="5">
        <v>45152.0</v>
      </c>
      <c r="C427" s="4" t="s">
        <v>21</v>
      </c>
      <c r="D427" s="4" t="s">
        <v>17</v>
      </c>
      <c r="E427" s="6">
        <v>99.0</v>
      </c>
      <c r="F427" s="7">
        <v>87.0</v>
      </c>
      <c r="G427" s="7">
        <v>48.35</v>
      </c>
      <c r="H427" s="6">
        <v>20.82</v>
      </c>
      <c r="I427" s="8">
        <f t="shared" si="1"/>
        <v>3790.06947</v>
      </c>
      <c r="J427" s="8">
        <f t="shared" si="2"/>
        <v>8613</v>
      </c>
      <c r="K427" s="8">
        <f t="shared" si="3"/>
        <v>-4822.93053</v>
      </c>
      <c r="L427" s="9">
        <f t="shared" si="4"/>
        <v>-1.272517712</v>
      </c>
    </row>
    <row r="428" ht="22.5" customHeight="1">
      <c r="A428" s="4" t="s">
        <v>295</v>
      </c>
      <c r="B428" s="5">
        <v>45198.0</v>
      </c>
      <c r="C428" s="4" t="s">
        <v>13</v>
      </c>
      <c r="D428" s="4" t="s">
        <v>22</v>
      </c>
      <c r="E428" s="6">
        <v>14.0</v>
      </c>
      <c r="F428" s="7">
        <v>427.5</v>
      </c>
      <c r="G428" s="7">
        <v>213.77</v>
      </c>
      <c r="H428" s="6">
        <v>12.07</v>
      </c>
      <c r="I428" s="8">
        <f t="shared" si="1"/>
        <v>2631.551454</v>
      </c>
      <c r="J428" s="8">
        <f t="shared" si="2"/>
        <v>5985</v>
      </c>
      <c r="K428" s="8">
        <f t="shared" si="3"/>
        <v>-3353.448546</v>
      </c>
      <c r="L428" s="9">
        <f t="shared" si="4"/>
        <v>-1.274323761</v>
      </c>
    </row>
    <row r="429" ht="22.5" customHeight="1">
      <c r="A429" s="4" t="s">
        <v>174</v>
      </c>
      <c r="B429" s="5">
        <v>45167.0</v>
      </c>
      <c r="C429" s="4" t="s">
        <v>29</v>
      </c>
      <c r="D429" s="4" t="s">
        <v>19</v>
      </c>
      <c r="E429" s="6">
        <v>5.0</v>
      </c>
      <c r="F429" s="7">
        <v>332.11</v>
      </c>
      <c r="G429" s="7">
        <v>284.48</v>
      </c>
      <c r="H429" s="6">
        <v>48.69</v>
      </c>
      <c r="I429" s="8">
        <f t="shared" si="1"/>
        <v>729.83344</v>
      </c>
      <c r="J429" s="8">
        <f t="shared" si="2"/>
        <v>1660.55</v>
      </c>
      <c r="K429" s="8">
        <f t="shared" si="3"/>
        <v>-930.71656</v>
      </c>
      <c r="L429" s="9">
        <f t="shared" si="4"/>
        <v>-1.275245157</v>
      </c>
    </row>
    <row r="430" ht="22.5" customHeight="1">
      <c r="A430" s="4" t="s">
        <v>221</v>
      </c>
      <c r="B430" s="5">
        <v>45092.0</v>
      </c>
      <c r="C430" s="4" t="s">
        <v>24</v>
      </c>
      <c r="D430" s="4" t="s">
        <v>17</v>
      </c>
      <c r="E430" s="6">
        <v>2.0</v>
      </c>
      <c r="F430" s="7">
        <v>195.89</v>
      </c>
      <c r="G430" s="7">
        <v>86.14</v>
      </c>
      <c r="H430" s="6">
        <v>1.66</v>
      </c>
      <c r="I430" s="8">
        <f t="shared" si="1"/>
        <v>169.420152</v>
      </c>
      <c r="J430" s="8">
        <f t="shared" si="2"/>
        <v>391.78</v>
      </c>
      <c r="K430" s="8">
        <f t="shared" si="3"/>
        <v>-222.359848</v>
      </c>
      <c r="L430" s="9">
        <f t="shared" si="4"/>
        <v>-1.312475791</v>
      </c>
    </row>
    <row r="431" ht="22.5" customHeight="1">
      <c r="A431" s="4" t="s">
        <v>351</v>
      </c>
      <c r="B431" s="5">
        <v>44992.0</v>
      </c>
      <c r="C431" s="4" t="s">
        <v>24</v>
      </c>
      <c r="D431" s="4" t="s">
        <v>17</v>
      </c>
      <c r="E431" s="6">
        <v>76.0</v>
      </c>
      <c r="F431" s="7">
        <v>378.27</v>
      </c>
      <c r="G431" s="7">
        <v>169.14</v>
      </c>
      <c r="H431" s="6">
        <v>5.09</v>
      </c>
      <c r="I431" s="8">
        <f t="shared" si="1"/>
        <v>12200.33882</v>
      </c>
      <c r="J431" s="8">
        <f t="shared" si="2"/>
        <v>28748.52</v>
      </c>
      <c r="K431" s="8">
        <f t="shared" si="3"/>
        <v>-16548.18118</v>
      </c>
      <c r="L431" s="9">
        <f t="shared" si="4"/>
        <v>-1.356370623</v>
      </c>
    </row>
    <row r="432" ht="22.5" customHeight="1">
      <c r="A432" s="4" t="s">
        <v>372</v>
      </c>
      <c r="B432" s="5">
        <v>45055.0</v>
      </c>
      <c r="C432" s="4" t="s">
        <v>24</v>
      </c>
      <c r="D432" s="4" t="s">
        <v>14</v>
      </c>
      <c r="E432" s="6">
        <v>64.0</v>
      </c>
      <c r="F432" s="7">
        <v>454.36</v>
      </c>
      <c r="G432" s="7">
        <v>267.88</v>
      </c>
      <c r="H432" s="6">
        <v>28.82</v>
      </c>
      <c r="I432" s="8">
        <f t="shared" si="1"/>
        <v>12203.32698</v>
      </c>
      <c r="J432" s="8">
        <f t="shared" si="2"/>
        <v>29079.04</v>
      </c>
      <c r="K432" s="8">
        <f t="shared" si="3"/>
        <v>-16875.71302</v>
      </c>
      <c r="L432" s="9">
        <f t="shared" si="4"/>
        <v>-1.382878051</v>
      </c>
    </row>
    <row r="433" ht="22.5" customHeight="1">
      <c r="A433" s="4" t="s">
        <v>373</v>
      </c>
      <c r="B433" s="5">
        <v>45288.0</v>
      </c>
      <c r="C433" s="4" t="s">
        <v>24</v>
      </c>
      <c r="D433" s="4" t="s">
        <v>17</v>
      </c>
      <c r="E433" s="6">
        <v>27.0</v>
      </c>
      <c r="F433" s="7">
        <v>492.88</v>
      </c>
      <c r="G433" s="7">
        <v>215.38</v>
      </c>
      <c r="H433" s="6">
        <v>4.21</v>
      </c>
      <c r="I433" s="8">
        <f t="shared" si="1"/>
        <v>5570.437554</v>
      </c>
      <c r="J433" s="8">
        <f t="shared" si="2"/>
        <v>13307.76</v>
      </c>
      <c r="K433" s="8">
        <f t="shared" si="3"/>
        <v>-7737.322446</v>
      </c>
      <c r="L433" s="9">
        <f t="shared" si="4"/>
        <v>-1.38899725</v>
      </c>
    </row>
    <row r="434" ht="22.5" customHeight="1">
      <c r="A434" s="4" t="s">
        <v>374</v>
      </c>
      <c r="B434" s="5">
        <v>45257.0</v>
      </c>
      <c r="C434" s="4" t="s">
        <v>13</v>
      </c>
      <c r="D434" s="4" t="s">
        <v>17</v>
      </c>
      <c r="E434" s="6">
        <v>51.0</v>
      </c>
      <c r="F434" s="7">
        <v>367.51</v>
      </c>
      <c r="G434" s="7">
        <v>154.19</v>
      </c>
      <c r="H434" s="6">
        <v>0.79</v>
      </c>
      <c r="I434" s="8">
        <f t="shared" si="1"/>
        <v>7801.566849</v>
      </c>
      <c r="J434" s="8">
        <f t="shared" si="2"/>
        <v>18743.01</v>
      </c>
      <c r="K434" s="8">
        <f t="shared" si="3"/>
        <v>-10941.44315</v>
      </c>
      <c r="L434" s="9">
        <f t="shared" si="4"/>
        <v>-1.402467397</v>
      </c>
    </row>
    <row r="435" ht="22.5" customHeight="1">
      <c r="A435" s="4" t="s">
        <v>375</v>
      </c>
      <c r="B435" s="5">
        <v>45054.0</v>
      </c>
      <c r="C435" s="4" t="s">
        <v>24</v>
      </c>
      <c r="D435" s="4" t="s">
        <v>22</v>
      </c>
      <c r="E435" s="6">
        <v>73.0</v>
      </c>
      <c r="F435" s="7">
        <v>465.38</v>
      </c>
      <c r="G435" s="7">
        <v>346.29</v>
      </c>
      <c r="H435" s="6">
        <v>44.24</v>
      </c>
      <c r="I435" s="8">
        <f t="shared" si="1"/>
        <v>14095.66519</v>
      </c>
      <c r="J435" s="8">
        <f t="shared" si="2"/>
        <v>33972.74</v>
      </c>
      <c r="K435" s="8">
        <f t="shared" si="3"/>
        <v>-19877.07481</v>
      </c>
      <c r="L435" s="9">
        <f t="shared" si="4"/>
        <v>-1.410155146</v>
      </c>
    </row>
    <row r="436" ht="22.5" customHeight="1">
      <c r="A436" s="4" t="s">
        <v>32</v>
      </c>
      <c r="B436" s="5">
        <v>45113.0</v>
      </c>
      <c r="C436" s="4" t="s">
        <v>29</v>
      </c>
      <c r="D436" s="4" t="s">
        <v>14</v>
      </c>
      <c r="E436" s="6">
        <v>62.0</v>
      </c>
      <c r="F436" s="7">
        <v>273.64</v>
      </c>
      <c r="G436" s="7">
        <v>141.62</v>
      </c>
      <c r="H436" s="6">
        <v>20.19</v>
      </c>
      <c r="I436" s="8">
        <f t="shared" si="1"/>
        <v>7007.669164</v>
      </c>
      <c r="J436" s="8">
        <f t="shared" si="2"/>
        <v>16965.68</v>
      </c>
      <c r="K436" s="8">
        <f t="shared" si="3"/>
        <v>-9958.010836</v>
      </c>
      <c r="L436" s="9">
        <f t="shared" si="4"/>
        <v>-1.421016119</v>
      </c>
    </row>
    <row r="437" ht="22.5" customHeight="1">
      <c r="A437" s="4" t="s">
        <v>376</v>
      </c>
      <c r="B437" s="5">
        <v>45042.0</v>
      </c>
      <c r="C437" s="4" t="s">
        <v>29</v>
      </c>
      <c r="D437" s="4" t="s">
        <v>22</v>
      </c>
      <c r="E437" s="6">
        <v>39.0</v>
      </c>
      <c r="F437" s="7">
        <v>362.91</v>
      </c>
      <c r="G437" s="7">
        <v>198.94</v>
      </c>
      <c r="H437" s="6">
        <v>28.81</v>
      </c>
      <c r="I437" s="8">
        <f t="shared" si="1"/>
        <v>5523.390054</v>
      </c>
      <c r="J437" s="8">
        <f t="shared" si="2"/>
        <v>14153.49</v>
      </c>
      <c r="K437" s="8">
        <f t="shared" si="3"/>
        <v>-8630.099946</v>
      </c>
      <c r="L437" s="9">
        <f t="shared" si="4"/>
        <v>-1.562464331</v>
      </c>
    </row>
    <row r="438" ht="22.5" customHeight="1">
      <c r="A438" s="4" t="s">
        <v>38</v>
      </c>
      <c r="B438" s="5">
        <v>45260.0</v>
      </c>
      <c r="C438" s="4" t="s">
        <v>13</v>
      </c>
      <c r="D438" s="4" t="s">
        <v>19</v>
      </c>
      <c r="E438" s="6">
        <v>74.0</v>
      </c>
      <c r="F438" s="7">
        <v>284.44</v>
      </c>
      <c r="G438" s="7">
        <v>119.27</v>
      </c>
      <c r="H438" s="6">
        <v>7.72</v>
      </c>
      <c r="I438" s="8">
        <f t="shared" si="1"/>
        <v>8144.614344</v>
      </c>
      <c r="J438" s="8">
        <f t="shared" si="2"/>
        <v>21048.56</v>
      </c>
      <c r="K438" s="8">
        <f t="shared" si="3"/>
        <v>-12903.94566</v>
      </c>
      <c r="L438" s="9">
        <f t="shared" si="4"/>
        <v>-1.584353182</v>
      </c>
    </row>
    <row r="439" ht="22.5" customHeight="1">
      <c r="A439" s="4" t="s">
        <v>328</v>
      </c>
      <c r="B439" s="5">
        <v>45111.0</v>
      </c>
      <c r="C439" s="4" t="s">
        <v>29</v>
      </c>
      <c r="D439" s="4" t="s">
        <v>14</v>
      </c>
      <c r="E439" s="6">
        <v>37.0</v>
      </c>
      <c r="F439" s="7">
        <v>455.6</v>
      </c>
      <c r="G439" s="7">
        <v>253.89</v>
      </c>
      <c r="H439" s="6">
        <v>30.7</v>
      </c>
      <c r="I439" s="8">
        <f t="shared" si="1"/>
        <v>6509.99349</v>
      </c>
      <c r="J439" s="8">
        <f t="shared" si="2"/>
        <v>16857.2</v>
      </c>
      <c r="K439" s="8">
        <f t="shared" si="3"/>
        <v>-10347.20651</v>
      </c>
      <c r="L439" s="9">
        <f t="shared" si="4"/>
        <v>-1.589434233</v>
      </c>
    </row>
    <row r="440" ht="22.5" customHeight="1">
      <c r="A440" s="4" t="s">
        <v>377</v>
      </c>
      <c r="B440" s="5">
        <v>44987.0</v>
      </c>
      <c r="C440" s="4" t="s">
        <v>16</v>
      </c>
      <c r="D440" s="4" t="s">
        <v>14</v>
      </c>
      <c r="E440" s="6">
        <v>56.0</v>
      </c>
      <c r="F440" s="7">
        <v>360.65</v>
      </c>
      <c r="G440" s="7">
        <v>212.2</v>
      </c>
      <c r="H440" s="6">
        <v>34.82</v>
      </c>
      <c r="I440" s="8">
        <f t="shared" si="1"/>
        <v>7745.46976</v>
      </c>
      <c r="J440" s="8">
        <f t="shared" si="2"/>
        <v>20196.4</v>
      </c>
      <c r="K440" s="8">
        <f t="shared" si="3"/>
        <v>-12450.93024</v>
      </c>
      <c r="L440" s="9">
        <f t="shared" si="4"/>
        <v>-1.60751131</v>
      </c>
    </row>
    <row r="441" ht="22.5" customHeight="1">
      <c r="A441" s="4" t="s">
        <v>378</v>
      </c>
      <c r="B441" s="5">
        <v>44935.0</v>
      </c>
      <c r="C441" s="4" t="s">
        <v>13</v>
      </c>
      <c r="D441" s="4" t="s">
        <v>22</v>
      </c>
      <c r="E441" s="6">
        <v>85.0</v>
      </c>
      <c r="F441" s="7">
        <v>461.8</v>
      </c>
      <c r="G441" s="7">
        <v>223.71</v>
      </c>
      <c r="H441" s="6">
        <v>22.24</v>
      </c>
      <c r="I441" s="8">
        <f t="shared" si="1"/>
        <v>14786.33616</v>
      </c>
      <c r="J441" s="8">
        <f t="shared" si="2"/>
        <v>39253</v>
      </c>
      <c r="K441" s="8">
        <f t="shared" si="3"/>
        <v>-24466.66384</v>
      </c>
      <c r="L441" s="9">
        <f t="shared" si="4"/>
        <v>-1.654680617</v>
      </c>
    </row>
    <row r="442" ht="22.5" customHeight="1">
      <c r="A442" s="4" t="s">
        <v>379</v>
      </c>
      <c r="B442" s="5">
        <v>45270.0</v>
      </c>
      <c r="C442" s="4" t="s">
        <v>24</v>
      </c>
      <c r="D442" s="4" t="s">
        <v>14</v>
      </c>
      <c r="E442" s="6">
        <v>74.0</v>
      </c>
      <c r="F442" s="7">
        <v>188.13</v>
      </c>
      <c r="G442" s="7">
        <v>134.75</v>
      </c>
      <c r="H442" s="6">
        <v>48.92</v>
      </c>
      <c r="I442" s="8">
        <f t="shared" si="1"/>
        <v>5093.4422</v>
      </c>
      <c r="J442" s="8">
        <f t="shared" si="2"/>
        <v>13921.62</v>
      </c>
      <c r="K442" s="8">
        <f t="shared" si="3"/>
        <v>-8828.1778</v>
      </c>
      <c r="L442" s="9">
        <f t="shared" si="4"/>
        <v>-1.733243935</v>
      </c>
    </row>
    <row r="443" ht="22.5" customHeight="1">
      <c r="A443" s="4" t="s">
        <v>380</v>
      </c>
      <c r="B443" s="5">
        <v>45050.0</v>
      </c>
      <c r="C443" s="4" t="s">
        <v>13</v>
      </c>
      <c r="D443" s="4" t="s">
        <v>17</v>
      </c>
      <c r="E443" s="6">
        <v>96.0</v>
      </c>
      <c r="F443" s="7">
        <v>458.25</v>
      </c>
      <c r="G443" s="7">
        <v>290.35</v>
      </c>
      <c r="H443" s="6">
        <v>42.41</v>
      </c>
      <c r="I443" s="8">
        <f t="shared" si="1"/>
        <v>16052.40624</v>
      </c>
      <c r="J443" s="8">
        <f t="shared" si="2"/>
        <v>43992</v>
      </c>
      <c r="K443" s="8">
        <f t="shared" si="3"/>
        <v>-27939.59376</v>
      </c>
      <c r="L443" s="9">
        <f t="shared" si="4"/>
        <v>-1.740523716</v>
      </c>
    </row>
    <row r="444" ht="22.5" customHeight="1">
      <c r="A444" s="4" t="s">
        <v>381</v>
      </c>
      <c r="B444" s="5">
        <v>45024.0</v>
      </c>
      <c r="C444" s="4" t="s">
        <v>21</v>
      </c>
      <c r="D444" s="4" t="s">
        <v>14</v>
      </c>
      <c r="E444" s="6">
        <v>17.0</v>
      </c>
      <c r="F444" s="7">
        <v>122.59</v>
      </c>
      <c r="G444" s="7">
        <v>54.69</v>
      </c>
      <c r="H444" s="6">
        <v>19.29</v>
      </c>
      <c r="I444" s="8">
        <f t="shared" si="1"/>
        <v>750.385083</v>
      </c>
      <c r="J444" s="8">
        <f t="shared" si="2"/>
        <v>2084.03</v>
      </c>
      <c r="K444" s="8">
        <f t="shared" si="3"/>
        <v>-1333.644917</v>
      </c>
      <c r="L444" s="9">
        <f t="shared" si="4"/>
        <v>-1.777280689</v>
      </c>
    </row>
    <row r="445" ht="22.5" customHeight="1">
      <c r="A445" s="4" t="s">
        <v>382</v>
      </c>
      <c r="B445" s="5">
        <v>45086.0</v>
      </c>
      <c r="C445" s="4" t="s">
        <v>21</v>
      </c>
      <c r="D445" s="4" t="s">
        <v>17</v>
      </c>
      <c r="E445" s="6">
        <v>76.0</v>
      </c>
      <c r="F445" s="7">
        <v>459.87</v>
      </c>
      <c r="G445" s="7">
        <v>183.65</v>
      </c>
      <c r="H445" s="6">
        <v>12.18</v>
      </c>
      <c r="I445" s="8">
        <f t="shared" si="1"/>
        <v>12257.38868</v>
      </c>
      <c r="J445" s="8">
        <f t="shared" si="2"/>
        <v>34950.12</v>
      </c>
      <c r="K445" s="8">
        <f t="shared" si="3"/>
        <v>-22692.73132</v>
      </c>
      <c r="L445" s="9">
        <f t="shared" si="4"/>
        <v>-1.851351206</v>
      </c>
    </row>
    <row r="446" ht="22.5" customHeight="1">
      <c r="A446" s="4" t="s">
        <v>383</v>
      </c>
      <c r="B446" s="5">
        <v>45191.0</v>
      </c>
      <c r="C446" s="4" t="s">
        <v>16</v>
      </c>
      <c r="D446" s="4" t="s">
        <v>17</v>
      </c>
      <c r="E446" s="6">
        <v>86.0</v>
      </c>
      <c r="F446" s="7">
        <v>470.42</v>
      </c>
      <c r="G446" s="7">
        <v>318.01</v>
      </c>
      <c r="H446" s="6">
        <v>48.31</v>
      </c>
      <c r="I446" s="8">
        <f t="shared" si="1"/>
        <v>14136.62573</v>
      </c>
      <c r="J446" s="8">
        <f t="shared" si="2"/>
        <v>40456.12</v>
      </c>
      <c r="K446" s="8">
        <f t="shared" si="3"/>
        <v>-26319.49427</v>
      </c>
      <c r="L446" s="9">
        <f t="shared" si="4"/>
        <v>-1.861794657</v>
      </c>
    </row>
    <row r="447" ht="22.5" customHeight="1">
      <c r="A447" s="4" t="s">
        <v>384</v>
      </c>
      <c r="B447" s="5">
        <v>45120.0</v>
      </c>
      <c r="C447" s="4" t="s">
        <v>16</v>
      </c>
      <c r="D447" s="4" t="s">
        <v>22</v>
      </c>
      <c r="E447" s="6">
        <v>11.0</v>
      </c>
      <c r="F447" s="7">
        <v>440.69</v>
      </c>
      <c r="G447" s="7">
        <v>217.56</v>
      </c>
      <c r="H447" s="6">
        <v>29.6</v>
      </c>
      <c r="I447" s="8">
        <f t="shared" si="1"/>
        <v>1684.78464</v>
      </c>
      <c r="J447" s="8">
        <f t="shared" si="2"/>
        <v>4847.59</v>
      </c>
      <c r="K447" s="8">
        <f t="shared" si="3"/>
        <v>-3162.80536</v>
      </c>
      <c r="L447" s="9">
        <f t="shared" si="4"/>
        <v>-1.877275757</v>
      </c>
    </row>
    <row r="448" ht="22.5" customHeight="1">
      <c r="A448" s="4" t="s">
        <v>173</v>
      </c>
      <c r="B448" s="5">
        <v>45287.0</v>
      </c>
      <c r="C448" s="4" t="s">
        <v>13</v>
      </c>
      <c r="D448" s="4" t="s">
        <v>19</v>
      </c>
      <c r="E448" s="6">
        <v>29.0</v>
      </c>
      <c r="F448" s="7">
        <v>485.86</v>
      </c>
      <c r="G448" s="7">
        <v>234.54</v>
      </c>
      <c r="H448" s="6">
        <v>28.17</v>
      </c>
      <c r="I448" s="8">
        <f t="shared" si="1"/>
        <v>4885.632378</v>
      </c>
      <c r="J448" s="8">
        <f t="shared" si="2"/>
        <v>14089.94</v>
      </c>
      <c r="K448" s="8">
        <f t="shared" si="3"/>
        <v>-9204.307622</v>
      </c>
      <c r="L448" s="9">
        <f t="shared" si="4"/>
        <v>-1.883954197</v>
      </c>
    </row>
    <row r="449" ht="22.5" customHeight="1">
      <c r="A449" s="4" t="s">
        <v>243</v>
      </c>
      <c r="B449" s="5">
        <v>44957.0</v>
      </c>
      <c r="C449" s="4" t="s">
        <v>13</v>
      </c>
      <c r="D449" s="4" t="s">
        <v>17</v>
      </c>
      <c r="E449" s="6">
        <v>1.0</v>
      </c>
      <c r="F449" s="7">
        <v>150.84</v>
      </c>
      <c r="G449" s="7">
        <v>76.45</v>
      </c>
      <c r="H449" s="6">
        <v>31.67</v>
      </c>
      <c r="I449" s="8">
        <f t="shared" si="1"/>
        <v>52.238285</v>
      </c>
      <c r="J449" s="8">
        <f t="shared" si="2"/>
        <v>150.84</v>
      </c>
      <c r="K449" s="8">
        <f t="shared" si="3"/>
        <v>-98.601715</v>
      </c>
      <c r="L449" s="9">
        <f t="shared" si="4"/>
        <v>-1.887537368</v>
      </c>
    </row>
    <row r="450" ht="22.5" customHeight="1">
      <c r="A450" s="4" t="s">
        <v>385</v>
      </c>
      <c r="B450" s="5">
        <v>45235.0</v>
      </c>
      <c r="C450" s="4" t="s">
        <v>16</v>
      </c>
      <c r="D450" s="4" t="s">
        <v>19</v>
      </c>
      <c r="E450" s="6">
        <v>19.0</v>
      </c>
      <c r="F450" s="7">
        <v>349.03</v>
      </c>
      <c r="G450" s="7">
        <v>144.08</v>
      </c>
      <c r="H450" s="6">
        <v>18.37</v>
      </c>
      <c r="I450" s="8">
        <f t="shared" si="1"/>
        <v>2234.637576</v>
      </c>
      <c r="J450" s="8">
        <f t="shared" si="2"/>
        <v>6631.57</v>
      </c>
      <c r="K450" s="8">
        <f t="shared" si="3"/>
        <v>-4396.932424</v>
      </c>
      <c r="L450" s="9">
        <f t="shared" si="4"/>
        <v>-1.967626639</v>
      </c>
    </row>
    <row r="451" ht="22.5" customHeight="1">
      <c r="A451" s="4" t="s">
        <v>105</v>
      </c>
      <c r="B451" s="5">
        <v>44987.0</v>
      </c>
      <c r="C451" s="4" t="s">
        <v>21</v>
      </c>
      <c r="D451" s="4" t="s">
        <v>14</v>
      </c>
      <c r="E451" s="6">
        <v>32.0</v>
      </c>
      <c r="F451" s="7">
        <v>305.6</v>
      </c>
      <c r="G451" s="7">
        <v>146.14</v>
      </c>
      <c r="H451" s="6">
        <v>30.92</v>
      </c>
      <c r="I451" s="8">
        <f t="shared" si="1"/>
        <v>3230.512384</v>
      </c>
      <c r="J451" s="8">
        <f t="shared" si="2"/>
        <v>9779.2</v>
      </c>
      <c r="K451" s="8">
        <f t="shared" si="3"/>
        <v>-6548.687616</v>
      </c>
      <c r="L451" s="9">
        <f t="shared" si="4"/>
        <v>-2.027135896</v>
      </c>
    </row>
    <row r="452" ht="22.5" customHeight="1">
      <c r="A452" s="4" t="s">
        <v>114</v>
      </c>
      <c r="B452" s="5">
        <v>44978.0</v>
      </c>
      <c r="C452" s="4" t="s">
        <v>13</v>
      </c>
      <c r="D452" s="4" t="s">
        <v>22</v>
      </c>
      <c r="E452" s="6">
        <v>75.0</v>
      </c>
      <c r="F452" s="7">
        <v>224.04</v>
      </c>
      <c r="G452" s="7">
        <v>137.11</v>
      </c>
      <c r="H452" s="6">
        <v>47.1</v>
      </c>
      <c r="I452" s="8">
        <f t="shared" si="1"/>
        <v>5439.83925</v>
      </c>
      <c r="J452" s="8">
        <f t="shared" si="2"/>
        <v>16803</v>
      </c>
      <c r="K452" s="8">
        <f t="shared" si="3"/>
        <v>-11363.16075</v>
      </c>
      <c r="L452" s="9">
        <f t="shared" si="4"/>
        <v>-2.08887804</v>
      </c>
    </row>
    <row r="453" ht="22.5" customHeight="1">
      <c r="A453" s="4" t="s">
        <v>258</v>
      </c>
      <c r="B453" s="5">
        <v>45243.0</v>
      </c>
      <c r="C453" s="4" t="s">
        <v>16</v>
      </c>
      <c r="D453" s="4" t="s">
        <v>17</v>
      </c>
      <c r="E453" s="6">
        <v>22.0</v>
      </c>
      <c r="F453" s="7">
        <v>347.32</v>
      </c>
      <c r="G453" s="7">
        <v>137.23</v>
      </c>
      <c r="H453" s="6">
        <v>18.13</v>
      </c>
      <c r="I453" s="8">
        <f t="shared" si="1"/>
        <v>2471.704422</v>
      </c>
      <c r="J453" s="8">
        <f t="shared" si="2"/>
        <v>7641.04</v>
      </c>
      <c r="K453" s="8">
        <f t="shared" si="3"/>
        <v>-5169.335578</v>
      </c>
      <c r="L453" s="9">
        <f t="shared" si="4"/>
        <v>-2.091405239</v>
      </c>
    </row>
    <row r="454" ht="22.5" customHeight="1">
      <c r="A454" s="4" t="s">
        <v>386</v>
      </c>
      <c r="B454" s="5">
        <v>45034.0</v>
      </c>
      <c r="C454" s="4" t="s">
        <v>24</v>
      </c>
      <c r="D454" s="4" t="s">
        <v>22</v>
      </c>
      <c r="E454" s="6">
        <v>18.0</v>
      </c>
      <c r="F454" s="7">
        <v>336.44</v>
      </c>
      <c r="G454" s="7">
        <v>133.57</v>
      </c>
      <c r="H454" s="6">
        <v>20.66</v>
      </c>
      <c r="I454" s="8">
        <f t="shared" si="1"/>
        <v>1907.539884</v>
      </c>
      <c r="J454" s="8">
        <f t="shared" si="2"/>
        <v>6055.92</v>
      </c>
      <c r="K454" s="8">
        <f t="shared" si="3"/>
        <v>-4148.380116</v>
      </c>
      <c r="L454" s="9">
        <f t="shared" si="4"/>
        <v>-2.174727853</v>
      </c>
    </row>
    <row r="455" ht="22.5" customHeight="1">
      <c r="A455" s="4" t="s">
        <v>387</v>
      </c>
      <c r="B455" s="5">
        <v>44991.0</v>
      </c>
      <c r="C455" s="4" t="s">
        <v>29</v>
      </c>
      <c r="D455" s="4" t="s">
        <v>14</v>
      </c>
      <c r="E455" s="6">
        <v>96.0</v>
      </c>
      <c r="F455" s="7">
        <v>396.01</v>
      </c>
      <c r="G455" s="7">
        <v>142.52</v>
      </c>
      <c r="H455" s="6">
        <v>14.46</v>
      </c>
      <c r="I455" s="8">
        <f t="shared" si="1"/>
        <v>11703.51437</v>
      </c>
      <c r="J455" s="8">
        <f t="shared" si="2"/>
        <v>38016.96</v>
      </c>
      <c r="K455" s="8">
        <f t="shared" si="3"/>
        <v>-26313.44563</v>
      </c>
      <c r="L455" s="9">
        <f t="shared" si="4"/>
        <v>-2.248337107</v>
      </c>
    </row>
    <row r="456" ht="22.5" customHeight="1">
      <c r="A456" s="4" t="s">
        <v>137</v>
      </c>
      <c r="B456" s="5">
        <v>44959.0</v>
      </c>
      <c r="C456" s="4" t="s">
        <v>13</v>
      </c>
      <c r="D456" s="4" t="s">
        <v>19</v>
      </c>
      <c r="E456" s="6">
        <v>61.0</v>
      </c>
      <c r="F456" s="7">
        <v>306.42</v>
      </c>
      <c r="G456" s="7">
        <v>146.9</v>
      </c>
      <c r="H456" s="6">
        <v>39.79</v>
      </c>
      <c r="I456" s="8">
        <f t="shared" si="1"/>
        <v>5395.35789</v>
      </c>
      <c r="J456" s="8">
        <f t="shared" si="2"/>
        <v>18691.62</v>
      </c>
      <c r="K456" s="8">
        <f t="shared" si="3"/>
        <v>-13296.26211</v>
      </c>
      <c r="L456" s="9">
        <f t="shared" si="4"/>
        <v>-2.464389273</v>
      </c>
    </row>
    <row r="457" ht="22.5" customHeight="1">
      <c r="A457" s="4" t="s">
        <v>388</v>
      </c>
      <c r="B457" s="5">
        <v>45200.0</v>
      </c>
      <c r="C457" s="4" t="s">
        <v>29</v>
      </c>
      <c r="D457" s="4" t="s">
        <v>22</v>
      </c>
      <c r="E457" s="6">
        <v>10.0</v>
      </c>
      <c r="F457" s="7">
        <v>384.01</v>
      </c>
      <c r="G457" s="7">
        <v>192.74</v>
      </c>
      <c r="H457" s="6">
        <v>43.02</v>
      </c>
      <c r="I457" s="8">
        <f t="shared" si="1"/>
        <v>1098.23252</v>
      </c>
      <c r="J457" s="8">
        <f t="shared" si="2"/>
        <v>3840.1</v>
      </c>
      <c r="K457" s="8">
        <f t="shared" si="3"/>
        <v>-2741.86748</v>
      </c>
      <c r="L457" s="9">
        <f t="shared" si="4"/>
        <v>-2.496618366</v>
      </c>
    </row>
    <row r="458" ht="22.5" customHeight="1">
      <c r="A458" s="4" t="s">
        <v>389</v>
      </c>
      <c r="B458" s="5">
        <v>45172.0</v>
      </c>
      <c r="C458" s="4" t="s">
        <v>29</v>
      </c>
      <c r="D458" s="4" t="s">
        <v>19</v>
      </c>
      <c r="E458" s="6">
        <v>70.0</v>
      </c>
      <c r="F458" s="7">
        <v>81.1</v>
      </c>
      <c r="G458" s="7">
        <v>40.52</v>
      </c>
      <c r="H458" s="6">
        <v>45.27</v>
      </c>
      <c r="I458" s="8">
        <f t="shared" si="1"/>
        <v>1552.36172</v>
      </c>
      <c r="J458" s="8">
        <f t="shared" si="2"/>
        <v>5677</v>
      </c>
      <c r="K458" s="8">
        <f t="shared" si="3"/>
        <v>-4124.63828</v>
      </c>
      <c r="L458" s="9">
        <f t="shared" si="4"/>
        <v>-2.657008497</v>
      </c>
    </row>
    <row r="459" ht="22.5" customHeight="1">
      <c r="A459" s="4" t="s">
        <v>239</v>
      </c>
      <c r="B459" s="5">
        <v>44944.0</v>
      </c>
      <c r="C459" s="4" t="s">
        <v>21</v>
      </c>
      <c r="D459" s="4" t="s">
        <v>22</v>
      </c>
      <c r="E459" s="6">
        <v>4.0</v>
      </c>
      <c r="F459" s="7">
        <v>434.09</v>
      </c>
      <c r="G459" s="7">
        <v>150.38</v>
      </c>
      <c r="H459" s="6">
        <v>22.16</v>
      </c>
      <c r="I459" s="8">
        <f t="shared" si="1"/>
        <v>468.223168</v>
      </c>
      <c r="J459" s="8">
        <f t="shared" si="2"/>
        <v>1736.36</v>
      </c>
      <c r="K459" s="8">
        <f t="shared" si="3"/>
        <v>-1268.136832</v>
      </c>
      <c r="L459" s="9">
        <f t="shared" si="4"/>
        <v>-2.708402571</v>
      </c>
    </row>
    <row r="460" ht="22.5" customHeight="1">
      <c r="A460" s="4" t="s">
        <v>390</v>
      </c>
      <c r="B460" s="5">
        <v>45238.0</v>
      </c>
      <c r="C460" s="4" t="s">
        <v>21</v>
      </c>
      <c r="D460" s="4" t="s">
        <v>19</v>
      </c>
      <c r="E460" s="6">
        <v>33.0</v>
      </c>
      <c r="F460" s="7">
        <v>235.4</v>
      </c>
      <c r="G460" s="7">
        <v>107.14</v>
      </c>
      <c r="H460" s="6">
        <v>45.44</v>
      </c>
      <c r="I460" s="8">
        <f t="shared" si="1"/>
        <v>1929.034272</v>
      </c>
      <c r="J460" s="8">
        <f t="shared" si="2"/>
        <v>7768.2</v>
      </c>
      <c r="K460" s="8">
        <f t="shared" si="3"/>
        <v>-5839.165728</v>
      </c>
      <c r="L460" s="9">
        <f t="shared" si="4"/>
        <v>-3.026989107</v>
      </c>
    </row>
    <row r="461" ht="22.5" customHeight="1">
      <c r="A461" s="4" t="s">
        <v>340</v>
      </c>
      <c r="B461" s="5">
        <v>45036.0</v>
      </c>
      <c r="C461" s="4" t="s">
        <v>24</v>
      </c>
      <c r="D461" s="4" t="s">
        <v>19</v>
      </c>
      <c r="E461" s="6">
        <v>70.0</v>
      </c>
      <c r="F461" s="7">
        <v>380.95</v>
      </c>
      <c r="G461" s="7">
        <v>122.26</v>
      </c>
      <c r="H461" s="6">
        <v>27.02</v>
      </c>
      <c r="I461" s="8">
        <f t="shared" si="1"/>
        <v>6245.77436</v>
      </c>
      <c r="J461" s="8">
        <f t="shared" si="2"/>
        <v>26666.5</v>
      </c>
      <c r="K461" s="8">
        <f t="shared" si="3"/>
        <v>-20420.72564</v>
      </c>
      <c r="L461" s="9">
        <f t="shared" si="4"/>
        <v>-3.269526637</v>
      </c>
    </row>
    <row r="462" ht="22.5" customHeight="1">
      <c r="A462" s="4" t="s">
        <v>391</v>
      </c>
      <c r="B462" s="5">
        <v>45106.0</v>
      </c>
      <c r="C462" s="4" t="s">
        <v>24</v>
      </c>
      <c r="D462" s="4" t="s">
        <v>14</v>
      </c>
      <c r="E462" s="6">
        <v>38.0</v>
      </c>
      <c r="F462" s="7">
        <v>438.14</v>
      </c>
      <c r="G462" s="7">
        <v>128.66</v>
      </c>
      <c r="H462" s="6">
        <v>23.13</v>
      </c>
      <c r="I462" s="8">
        <f t="shared" si="1"/>
        <v>3758.235796</v>
      </c>
      <c r="J462" s="8">
        <f t="shared" si="2"/>
        <v>16649.32</v>
      </c>
      <c r="K462" s="8">
        <f t="shared" si="3"/>
        <v>-12891.0842</v>
      </c>
      <c r="L462" s="9">
        <f t="shared" si="4"/>
        <v>-3.43008925</v>
      </c>
    </row>
    <row r="463" ht="22.5" customHeight="1">
      <c r="A463" s="4" t="s">
        <v>392</v>
      </c>
      <c r="B463" s="5">
        <v>45262.0</v>
      </c>
      <c r="C463" s="4" t="s">
        <v>29</v>
      </c>
      <c r="D463" s="4" t="s">
        <v>22</v>
      </c>
      <c r="E463" s="6">
        <v>2.0</v>
      </c>
      <c r="F463" s="7">
        <v>353.03</v>
      </c>
      <c r="G463" s="7">
        <v>149.69</v>
      </c>
      <c r="H463" s="6">
        <v>49.56</v>
      </c>
      <c r="I463" s="8">
        <f t="shared" si="1"/>
        <v>151.007272</v>
      </c>
      <c r="J463" s="8">
        <f t="shared" si="2"/>
        <v>706.06</v>
      </c>
      <c r="K463" s="8">
        <f t="shared" si="3"/>
        <v>-555.052728</v>
      </c>
      <c r="L463" s="9">
        <f t="shared" si="4"/>
        <v>-3.675668864</v>
      </c>
    </row>
    <row r="464" ht="22.5" customHeight="1">
      <c r="A464" s="4" t="s">
        <v>351</v>
      </c>
      <c r="B464" s="5">
        <v>44945.0</v>
      </c>
      <c r="C464" s="4" t="s">
        <v>13</v>
      </c>
      <c r="D464" s="4" t="s">
        <v>19</v>
      </c>
      <c r="E464" s="6">
        <v>91.0</v>
      </c>
      <c r="F464" s="7">
        <v>392.2</v>
      </c>
      <c r="G464" s="7">
        <v>92.42</v>
      </c>
      <c r="H464" s="6">
        <v>9.48</v>
      </c>
      <c r="I464" s="8">
        <f t="shared" si="1"/>
        <v>7612.931144</v>
      </c>
      <c r="J464" s="8">
        <f t="shared" si="2"/>
        <v>35690.2</v>
      </c>
      <c r="K464" s="8">
        <f t="shared" si="3"/>
        <v>-28077.26886</v>
      </c>
      <c r="L464" s="9">
        <f t="shared" si="4"/>
        <v>-3.688102299</v>
      </c>
    </row>
    <row r="465" ht="22.5" customHeight="1">
      <c r="A465" s="4" t="s">
        <v>393</v>
      </c>
      <c r="B465" s="5">
        <v>45091.0</v>
      </c>
      <c r="C465" s="4" t="s">
        <v>13</v>
      </c>
      <c r="D465" s="4" t="s">
        <v>19</v>
      </c>
      <c r="E465" s="6">
        <v>83.0</v>
      </c>
      <c r="F465" s="7">
        <v>422.96</v>
      </c>
      <c r="G465" s="7">
        <v>145.65</v>
      </c>
      <c r="H465" s="6">
        <v>39.25</v>
      </c>
      <c r="I465" s="8">
        <f t="shared" si="1"/>
        <v>7344.037125</v>
      </c>
      <c r="J465" s="8">
        <f t="shared" si="2"/>
        <v>35105.68</v>
      </c>
      <c r="K465" s="8">
        <f t="shared" si="3"/>
        <v>-27761.64288</v>
      </c>
      <c r="L465" s="9">
        <f t="shared" si="4"/>
        <v>-3.780161021</v>
      </c>
    </row>
    <row r="466" ht="22.5" customHeight="1">
      <c r="A466" s="4" t="s">
        <v>394</v>
      </c>
      <c r="B466" s="5">
        <v>45086.0</v>
      </c>
      <c r="C466" s="4" t="s">
        <v>21</v>
      </c>
      <c r="D466" s="4" t="s">
        <v>14</v>
      </c>
      <c r="E466" s="6">
        <v>65.0</v>
      </c>
      <c r="F466" s="7">
        <v>372.1</v>
      </c>
      <c r="G466" s="7">
        <v>106.05</v>
      </c>
      <c r="H466" s="6">
        <v>31.27</v>
      </c>
      <c r="I466" s="8">
        <f t="shared" si="1"/>
        <v>4737.730725</v>
      </c>
      <c r="J466" s="8">
        <f t="shared" si="2"/>
        <v>24186.5</v>
      </c>
      <c r="K466" s="8">
        <f t="shared" si="3"/>
        <v>-19448.76928</v>
      </c>
      <c r="L466" s="9">
        <f t="shared" si="4"/>
        <v>-4.105081188</v>
      </c>
    </row>
    <row r="467" ht="22.5" customHeight="1">
      <c r="A467" s="4" t="s">
        <v>395</v>
      </c>
      <c r="B467" s="5">
        <v>44957.0</v>
      </c>
      <c r="C467" s="4" t="s">
        <v>13</v>
      </c>
      <c r="D467" s="4" t="s">
        <v>14</v>
      </c>
      <c r="E467" s="6">
        <v>19.0</v>
      </c>
      <c r="F467" s="7">
        <v>337.11</v>
      </c>
      <c r="G467" s="7">
        <v>107.2</v>
      </c>
      <c r="H467" s="6">
        <v>38.54</v>
      </c>
      <c r="I467" s="8">
        <f t="shared" si="1"/>
        <v>1251.81728</v>
      </c>
      <c r="J467" s="8">
        <f t="shared" si="2"/>
        <v>6405.09</v>
      </c>
      <c r="K467" s="8">
        <f t="shared" si="3"/>
        <v>-5153.27272</v>
      </c>
      <c r="L467" s="9">
        <f t="shared" si="4"/>
        <v>-4.116633316</v>
      </c>
    </row>
    <row r="468" ht="22.5" customHeight="1">
      <c r="A468" s="4" t="s">
        <v>396</v>
      </c>
      <c r="B468" s="5">
        <v>44983.0</v>
      </c>
      <c r="C468" s="4" t="s">
        <v>13</v>
      </c>
      <c r="D468" s="4" t="s">
        <v>17</v>
      </c>
      <c r="E468" s="6">
        <v>95.0</v>
      </c>
      <c r="F468" s="7">
        <v>242.29</v>
      </c>
      <c r="G468" s="7">
        <v>70.43</v>
      </c>
      <c r="H468" s="6">
        <v>33.68</v>
      </c>
      <c r="I468" s="8">
        <f t="shared" si="1"/>
        <v>4437.37172</v>
      </c>
      <c r="J468" s="8">
        <f t="shared" si="2"/>
        <v>23017.55</v>
      </c>
      <c r="K468" s="8">
        <f t="shared" si="3"/>
        <v>-18580.17828</v>
      </c>
      <c r="L468" s="9">
        <f t="shared" si="4"/>
        <v>-4.187203474</v>
      </c>
    </row>
    <row r="469" ht="22.5" customHeight="1">
      <c r="A469" s="4" t="s">
        <v>382</v>
      </c>
      <c r="B469" s="5">
        <v>45173.0</v>
      </c>
      <c r="C469" s="4" t="s">
        <v>29</v>
      </c>
      <c r="D469" s="4" t="s">
        <v>17</v>
      </c>
      <c r="E469" s="6">
        <v>34.0</v>
      </c>
      <c r="F469" s="7">
        <v>356.06</v>
      </c>
      <c r="G469" s="7">
        <v>102.75</v>
      </c>
      <c r="H469" s="6">
        <v>33.22</v>
      </c>
      <c r="I469" s="8">
        <f t="shared" si="1"/>
        <v>2332.9593</v>
      </c>
      <c r="J469" s="8">
        <f t="shared" si="2"/>
        <v>12106.04</v>
      </c>
      <c r="K469" s="8">
        <f t="shared" si="3"/>
        <v>-9773.0807</v>
      </c>
      <c r="L469" s="9">
        <f t="shared" si="4"/>
        <v>-4.189134675</v>
      </c>
    </row>
    <row r="470" ht="22.5" customHeight="1">
      <c r="A470" s="4" t="s">
        <v>200</v>
      </c>
      <c r="B470" s="5">
        <v>45206.0</v>
      </c>
      <c r="C470" s="4" t="s">
        <v>13</v>
      </c>
      <c r="D470" s="4" t="s">
        <v>17</v>
      </c>
      <c r="E470" s="6">
        <v>96.0</v>
      </c>
      <c r="F470" s="7">
        <v>252.19</v>
      </c>
      <c r="G470" s="7">
        <v>53.18</v>
      </c>
      <c r="H470" s="6">
        <v>13.32</v>
      </c>
      <c r="I470" s="8">
        <f t="shared" si="1"/>
        <v>4425.256704</v>
      </c>
      <c r="J470" s="8">
        <f t="shared" si="2"/>
        <v>24210.24</v>
      </c>
      <c r="K470" s="8">
        <f t="shared" si="3"/>
        <v>-19784.9833</v>
      </c>
      <c r="L470" s="9">
        <f t="shared" si="4"/>
        <v>-4.470923298</v>
      </c>
    </row>
    <row r="471" ht="22.5" customHeight="1">
      <c r="A471" s="4" t="s">
        <v>93</v>
      </c>
      <c r="B471" s="5">
        <v>45016.0</v>
      </c>
      <c r="C471" s="4" t="s">
        <v>24</v>
      </c>
      <c r="D471" s="4" t="s">
        <v>19</v>
      </c>
      <c r="E471" s="6">
        <v>47.0</v>
      </c>
      <c r="F471" s="7">
        <v>73.66</v>
      </c>
      <c r="G471" s="7">
        <v>25.13</v>
      </c>
      <c r="H471" s="6">
        <v>46.89</v>
      </c>
      <c r="I471" s="8">
        <f t="shared" si="1"/>
        <v>627.287521</v>
      </c>
      <c r="J471" s="8">
        <f t="shared" si="2"/>
        <v>3462.02</v>
      </c>
      <c r="K471" s="8">
        <f t="shared" si="3"/>
        <v>-2834.732479</v>
      </c>
      <c r="L471" s="9">
        <f t="shared" si="4"/>
        <v>-4.519032157</v>
      </c>
    </row>
    <row r="472" ht="22.5" customHeight="1">
      <c r="A472" s="4" t="s">
        <v>397</v>
      </c>
      <c r="B472" s="5">
        <v>45073.0</v>
      </c>
      <c r="C472" s="4" t="s">
        <v>13</v>
      </c>
      <c r="D472" s="4" t="s">
        <v>17</v>
      </c>
      <c r="E472" s="6">
        <v>82.0</v>
      </c>
      <c r="F472" s="7">
        <v>209.36</v>
      </c>
      <c r="G472" s="7">
        <v>63.27</v>
      </c>
      <c r="H472" s="6">
        <v>40.84</v>
      </c>
      <c r="I472" s="8">
        <f t="shared" si="1"/>
        <v>3069.303624</v>
      </c>
      <c r="J472" s="8">
        <f t="shared" si="2"/>
        <v>17167.52</v>
      </c>
      <c r="K472" s="8">
        <f t="shared" si="3"/>
        <v>-14098.21638</v>
      </c>
      <c r="L472" s="9">
        <f t="shared" si="4"/>
        <v>-4.5932948</v>
      </c>
    </row>
    <row r="473" ht="22.5" customHeight="1">
      <c r="A473" s="4" t="s">
        <v>264</v>
      </c>
      <c r="B473" s="5">
        <v>45186.0</v>
      </c>
      <c r="C473" s="4" t="s">
        <v>24</v>
      </c>
      <c r="D473" s="4" t="s">
        <v>19</v>
      </c>
      <c r="E473" s="6">
        <v>24.0</v>
      </c>
      <c r="F473" s="7">
        <v>63.52</v>
      </c>
      <c r="G473" s="7">
        <v>14.76</v>
      </c>
      <c r="H473" s="6">
        <v>23.59</v>
      </c>
      <c r="I473" s="8">
        <f t="shared" si="1"/>
        <v>270.674784</v>
      </c>
      <c r="J473" s="8">
        <f t="shared" si="2"/>
        <v>1524.48</v>
      </c>
      <c r="K473" s="8">
        <f t="shared" si="3"/>
        <v>-1253.805216</v>
      </c>
      <c r="L473" s="9">
        <f t="shared" si="4"/>
        <v>-4.632146362</v>
      </c>
    </row>
    <row r="474" ht="22.5" customHeight="1">
      <c r="A474" s="4" t="s">
        <v>398</v>
      </c>
      <c r="B474" s="5">
        <v>45101.0</v>
      </c>
      <c r="C474" s="4" t="s">
        <v>16</v>
      </c>
      <c r="D474" s="4" t="s">
        <v>19</v>
      </c>
      <c r="E474" s="6">
        <v>86.0</v>
      </c>
      <c r="F474" s="7">
        <v>414.47</v>
      </c>
      <c r="G474" s="7">
        <v>96.36</v>
      </c>
      <c r="H474" s="6">
        <v>24.33</v>
      </c>
      <c r="I474" s="8">
        <f t="shared" si="1"/>
        <v>6270.742632</v>
      </c>
      <c r="J474" s="8">
        <f t="shared" si="2"/>
        <v>35644.42</v>
      </c>
      <c r="K474" s="8">
        <f t="shared" si="3"/>
        <v>-29373.67737</v>
      </c>
      <c r="L474" s="9">
        <f t="shared" si="4"/>
        <v>-4.684242217</v>
      </c>
    </row>
    <row r="475" ht="22.5" customHeight="1">
      <c r="A475" s="4" t="s">
        <v>37</v>
      </c>
      <c r="B475" s="5">
        <v>45133.0</v>
      </c>
      <c r="C475" s="4" t="s">
        <v>29</v>
      </c>
      <c r="D475" s="4" t="s">
        <v>22</v>
      </c>
      <c r="E475" s="6">
        <v>31.0</v>
      </c>
      <c r="F475" s="7">
        <v>388.31</v>
      </c>
      <c r="G475" s="7">
        <v>69.04</v>
      </c>
      <c r="H475" s="6">
        <v>2.46</v>
      </c>
      <c r="I475" s="8">
        <f t="shared" si="1"/>
        <v>2087.590096</v>
      </c>
      <c r="J475" s="8">
        <f t="shared" si="2"/>
        <v>12037.61</v>
      </c>
      <c r="K475" s="8">
        <f t="shared" si="3"/>
        <v>-9950.019904</v>
      </c>
      <c r="L475" s="9">
        <f t="shared" si="4"/>
        <v>-4.76627089</v>
      </c>
    </row>
    <row r="476" ht="22.5" customHeight="1">
      <c r="A476" s="4" t="s">
        <v>245</v>
      </c>
      <c r="B476" s="5">
        <v>45074.0</v>
      </c>
      <c r="C476" s="4" t="s">
        <v>13</v>
      </c>
      <c r="D476" s="4" t="s">
        <v>14</v>
      </c>
      <c r="E476" s="6">
        <v>37.0</v>
      </c>
      <c r="F476" s="7">
        <v>400.87</v>
      </c>
      <c r="G476" s="7">
        <v>131.77</v>
      </c>
      <c r="H476" s="6">
        <v>47.81</v>
      </c>
      <c r="I476" s="8">
        <f t="shared" si="1"/>
        <v>2544.518231</v>
      </c>
      <c r="J476" s="8">
        <f t="shared" si="2"/>
        <v>14832.19</v>
      </c>
      <c r="K476" s="8">
        <f t="shared" si="3"/>
        <v>-12287.67177</v>
      </c>
      <c r="L476" s="9">
        <f t="shared" si="4"/>
        <v>-4.82907594</v>
      </c>
    </row>
    <row r="477" ht="22.5" customHeight="1">
      <c r="A477" s="4" t="s">
        <v>399</v>
      </c>
      <c r="B477" s="5">
        <v>45051.0</v>
      </c>
      <c r="C477" s="4" t="s">
        <v>16</v>
      </c>
      <c r="D477" s="4" t="s">
        <v>17</v>
      </c>
      <c r="E477" s="6">
        <v>91.0</v>
      </c>
      <c r="F477" s="7">
        <v>218.87</v>
      </c>
      <c r="G477" s="7">
        <v>64.16</v>
      </c>
      <c r="H477" s="6">
        <v>42.76</v>
      </c>
      <c r="I477" s="8">
        <f t="shared" si="1"/>
        <v>3341.991744</v>
      </c>
      <c r="J477" s="8">
        <f t="shared" si="2"/>
        <v>19917.17</v>
      </c>
      <c r="K477" s="8">
        <f t="shared" si="3"/>
        <v>-16575.17826</v>
      </c>
      <c r="L477" s="9">
        <f t="shared" si="4"/>
        <v>-4.959670617</v>
      </c>
    </row>
    <row r="478" ht="22.5" customHeight="1">
      <c r="A478" s="4" t="s">
        <v>400</v>
      </c>
      <c r="B478" s="5">
        <v>44990.0</v>
      </c>
      <c r="C478" s="4" t="s">
        <v>21</v>
      </c>
      <c r="D478" s="4" t="s">
        <v>19</v>
      </c>
      <c r="E478" s="6">
        <v>40.0</v>
      </c>
      <c r="F478" s="7">
        <v>451.65</v>
      </c>
      <c r="G478" s="7">
        <v>70.45</v>
      </c>
      <c r="H478" s="6">
        <v>0.23</v>
      </c>
      <c r="I478" s="8">
        <f t="shared" si="1"/>
        <v>2811.5186</v>
      </c>
      <c r="J478" s="8">
        <f t="shared" si="2"/>
        <v>18066</v>
      </c>
      <c r="K478" s="8">
        <f t="shared" si="3"/>
        <v>-15254.4814</v>
      </c>
      <c r="L478" s="9">
        <f t="shared" si="4"/>
        <v>-5.425708868</v>
      </c>
    </row>
    <row r="479" ht="22.5" customHeight="1">
      <c r="A479" s="4" t="s">
        <v>401</v>
      </c>
      <c r="B479" s="5">
        <v>45078.0</v>
      </c>
      <c r="C479" s="4" t="s">
        <v>21</v>
      </c>
      <c r="D479" s="4" t="s">
        <v>14</v>
      </c>
      <c r="E479" s="6">
        <v>31.0</v>
      </c>
      <c r="F479" s="7">
        <v>427.74</v>
      </c>
      <c r="G479" s="7">
        <v>96.87</v>
      </c>
      <c r="H479" s="6">
        <v>31.31</v>
      </c>
      <c r="I479" s="8">
        <f t="shared" si="1"/>
        <v>2062.740093</v>
      </c>
      <c r="J479" s="8">
        <f t="shared" si="2"/>
        <v>13259.94</v>
      </c>
      <c r="K479" s="8">
        <f t="shared" si="3"/>
        <v>-11197.19991</v>
      </c>
      <c r="L479" s="9">
        <f t="shared" si="4"/>
        <v>-5.428313506</v>
      </c>
    </row>
    <row r="480" ht="22.5" customHeight="1">
      <c r="A480" s="4" t="s">
        <v>51</v>
      </c>
      <c r="B480" s="5">
        <v>45098.0</v>
      </c>
      <c r="C480" s="4" t="s">
        <v>24</v>
      </c>
      <c r="D480" s="4" t="s">
        <v>22</v>
      </c>
      <c r="E480" s="6">
        <v>54.0</v>
      </c>
      <c r="F480" s="7">
        <v>293.18</v>
      </c>
      <c r="G480" s="7">
        <v>65.92</v>
      </c>
      <c r="H480" s="6">
        <v>31.07</v>
      </c>
      <c r="I480" s="8">
        <f t="shared" si="1"/>
        <v>2453.687424</v>
      </c>
      <c r="J480" s="8">
        <f t="shared" si="2"/>
        <v>15831.72</v>
      </c>
      <c r="K480" s="8">
        <f t="shared" si="3"/>
        <v>-13378.03258</v>
      </c>
      <c r="L480" s="9">
        <f t="shared" si="4"/>
        <v>-5.452215488</v>
      </c>
    </row>
    <row r="481" ht="22.5" customHeight="1">
      <c r="A481" s="4" t="s">
        <v>110</v>
      </c>
      <c r="B481" s="5">
        <v>45054.0</v>
      </c>
      <c r="C481" s="4" t="s">
        <v>29</v>
      </c>
      <c r="D481" s="4" t="s">
        <v>22</v>
      </c>
      <c r="E481" s="6">
        <v>36.0</v>
      </c>
      <c r="F481" s="7">
        <v>101.06</v>
      </c>
      <c r="G481" s="7">
        <v>22.14</v>
      </c>
      <c r="H481" s="6">
        <v>31.64</v>
      </c>
      <c r="I481" s="8">
        <f t="shared" si="1"/>
        <v>544.856544</v>
      </c>
      <c r="J481" s="8">
        <f t="shared" si="2"/>
        <v>3638.16</v>
      </c>
      <c r="K481" s="8">
        <f t="shared" si="3"/>
        <v>-3093.303456</v>
      </c>
      <c r="L481" s="9">
        <f t="shared" si="4"/>
        <v>-5.677280543</v>
      </c>
    </row>
    <row r="482" ht="22.5" customHeight="1">
      <c r="A482" s="4" t="s">
        <v>116</v>
      </c>
      <c r="B482" s="5">
        <v>45174.0</v>
      </c>
      <c r="C482" s="4" t="s">
        <v>21</v>
      </c>
      <c r="D482" s="4" t="s">
        <v>22</v>
      </c>
      <c r="E482" s="6">
        <v>36.0</v>
      </c>
      <c r="F482" s="7">
        <v>494.18</v>
      </c>
      <c r="G482" s="7">
        <v>76.33</v>
      </c>
      <c r="H482" s="6">
        <v>12.3</v>
      </c>
      <c r="I482" s="8">
        <f t="shared" si="1"/>
        <v>2409.89076</v>
      </c>
      <c r="J482" s="8">
        <f t="shared" si="2"/>
        <v>17790.48</v>
      </c>
      <c r="K482" s="8">
        <f t="shared" si="3"/>
        <v>-15380.58924</v>
      </c>
      <c r="L482" s="9">
        <f t="shared" si="4"/>
        <v>-6.382276531</v>
      </c>
    </row>
    <row r="483" ht="22.5" customHeight="1">
      <c r="A483" s="4" t="s">
        <v>402</v>
      </c>
      <c r="B483" s="5">
        <v>44959.0</v>
      </c>
      <c r="C483" s="4" t="s">
        <v>13</v>
      </c>
      <c r="D483" s="4" t="s">
        <v>17</v>
      </c>
      <c r="E483" s="6">
        <v>88.0</v>
      </c>
      <c r="F483" s="7">
        <v>468.15</v>
      </c>
      <c r="G483" s="7">
        <v>89.26</v>
      </c>
      <c r="H483" s="6">
        <v>28.97</v>
      </c>
      <c r="I483" s="8">
        <f t="shared" si="1"/>
        <v>5579.321264</v>
      </c>
      <c r="J483" s="8">
        <f t="shared" si="2"/>
        <v>41197.2</v>
      </c>
      <c r="K483" s="8">
        <f t="shared" si="3"/>
        <v>-35617.87874</v>
      </c>
      <c r="L483" s="9">
        <f t="shared" si="4"/>
        <v>-6.383908911</v>
      </c>
    </row>
    <row r="484" ht="22.5" customHeight="1">
      <c r="A484" s="4" t="s">
        <v>98</v>
      </c>
      <c r="B484" s="5">
        <v>45186.0</v>
      </c>
      <c r="C484" s="4" t="s">
        <v>13</v>
      </c>
      <c r="D484" s="4" t="s">
        <v>14</v>
      </c>
      <c r="E484" s="6">
        <v>11.0</v>
      </c>
      <c r="F484" s="7">
        <v>433.12</v>
      </c>
      <c r="G484" s="7">
        <v>87.23</v>
      </c>
      <c r="H484" s="6">
        <v>33.66</v>
      </c>
      <c r="I484" s="8">
        <f t="shared" si="1"/>
        <v>636.552202</v>
      </c>
      <c r="J484" s="8">
        <f t="shared" si="2"/>
        <v>4764.32</v>
      </c>
      <c r="K484" s="8">
        <f t="shared" si="3"/>
        <v>-4127.767798</v>
      </c>
      <c r="L484" s="9">
        <f t="shared" si="4"/>
        <v>-6.484570763</v>
      </c>
    </row>
    <row r="485" ht="22.5" customHeight="1">
      <c r="A485" s="4" t="s">
        <v>291</v>
      </c>
      <c r="B485" s="5">
        <v>44994.0</v>
      </c>
      <c r="C485" s="4" t="s">
        <v>16</v>
      </c>
      <c r="D485" s="4" t="s">
        <v>19</v>
      </c>
      <c r="E485" s="6">
        <v>70.0</v>
      </c>
      <c r="F485" s="7">
        <v>219.79</v>
      </c>
      <c r="G485" s="7">
        <v>42.82</v>
      </c>
      <c r="H485" s="6">
        <v>33.65</v>
      </c>
      <c r="I485" s="8">
        <f t="shared" si="1"/>
        <v>1988.7749</v>
      </c>
      <c r="J485" s="8">
        <f t="shared" si="2"/>
        <v>15385.3</v>
      </c>
      <c r="K485" s="8">
        <f t="shared" si="3"/>
        <v>-13396.5251</v>
      </c>
      <c r="L485" s="9">
        <f t="shared" si="4"/>
        <v>-6.736069074</v>
      </c>
    </row>
    <row r="486" ht="22.5" customHeight="1">
      <c r="A486" s="4" t="s">
        <v>366</v>
      </c>
      <c r="B486" s="5">
        <v>45218.0</v>
      </c>
      <c r="C486" s="4" t="s">
        <v>24</v>
      </c>
      <c r="D486" s="4" t="s">
        <v>22</v>
      </c>
      <c r="E486" s="6">
        <v>41.0</v>
      </c>
      <c r="F486" s="7">
        <v>269.96</v>
      </c>
      <c r="G486" s="7">
        <v>54.85</v>
      </c>
      <c r="H486" s="6">
        <v>37.84</v>
      </c>
      <c r="I486" s="8">
        <f t="shared" si="1"/>
        <v>1397.88516</v>
      </c>
      <c r="J486" s="8">
        <f t="shared" si="2"/>
        <v>11068.36</v>
      </c>
      <c r="K486" s="8">
        <f t="shared" si="3"/>
        <v>-9670.47484</v>
      </c>
      <c r="L486" s="9">
        <f t="shared" si="4"/>
        <v>-6.917932257</v>
      </c>
    </row>
    <row r="487" ht="22.5" customHeight="1">
      <c r="A487" s="4" t="s">
        <v>308</v>
      </c>
      <c r="B487" s="5">
        <v>45101.0</v>
      </c>
      <c r="C487" s="4" t="s">
        <v>29</v>
      </c>
      <c r="D487" s="4" t="s">
        <v>22</v>
      </c>
      <c r="E487" s="6">
        <v>45.0</v>
      </c>
      <c r="F487" s="7">
        <v>163.55</v>
      </c>
      <c r="G487" s="7">
        <v>39.23</v>
      </c>
      <c r="H487" s="6">
        <v>47.8</v>
      </c>
      <c r="I487" s="8">
        <f t="shared" si="1"/>
        <v>921.5127</v>
      </c>
      <c r="J487" s="8">
        <f t="shared" si="2"/>
        <v>7359.75</v>
      </c>
      <c r="K487" s="8">
        <f t="shared" si="3"/>
        <v>-6438.2373</v>
      </c>
      <c r="L487" s="9">
        <f t="shared" si="4"/>
        <v>-6.986596387</v>
      </c>
    </row>
    <row r="488" ht="22.5" customHeight="1">
      <c r="A488" s="4" t="s">
        <v>403</v>
      </c>
      <c r="B488" s="5">
        <v>45185.0</v>
      </c>
      <c r="C488" s="4" t="s">
        <v>24</v>
      </c>
      <c r="D488" s="4" t="s">
        <v>14</v>
      </c>
      <c r="E488" s="6">
        <v>59.0</v>
      </c>
      <c r="F488" s="7">
        <v>315.43</v>
      </c>
      <c r="G488" s="7">
        <v>42.26</v>
      </c>
      <c r="H488" s="6">
        <v>6.94</v>
      </c>
      <c r="I488" s="8">
        <f t="shared" si="1"/>
        <v>2320.302204</v>
      </c>
      <c r="J488" s="8">
        <f t="shared" si="2"/>
        <v>18610.37</v>
      </c>
      <c r="K488" s="8">
        <f t="shared" si="3"/>
        <v>-16290.0678</v>
      </c>
      <c r="L488" s="9">
        <f t="shared" si="4"/>
        <v>-7.020666432</v>
      </c>
    </row>
    <row r="489" ht="22.5" customHeight="1">
      <c r="A489" s="4" t="s">
        <v>26</v>
      </c>
      <c r="B489" s="5">
        <v>44927.0</v>
      </c>
      <c r="C489" s="4" t="s">
        <v>13</v>
      </c>
      <c r="D489" s="4" t="s">
        <v>19</v>
      </c>
      <c r="E489" s="6">
        <v>11.0</v>
      </c>
      <c r="F489" s="7">
        <v>396.02</v>
      </c>
      <c r="G489" s="7">
        <v>58.65</v>
      </c>
      <c r="H489" s="6">
        <v>23.12</v>
      </c>
      <c r="I489" s="8">
        <f t="shared" si="1"/>
        <v>495.99132</v>
      </c>
      <c r="J489" s="8">
        <f t="shared" si="2"/>
        <v>4356.22</v>
      </c>
      <c r="K489" s="8">
        <f t="shared" si="3"/>
        <v>-3860.22868</v>
      </c>
      <c r="L489" s="9">
        <f t="shared" si="4"/>
        <v>-7.782855313</v>
      </c>
    </row>
    <row r="490" ht="22.5" customHeight="1">
      <c r="A490" s="4" t="s">
        <v>404</v>
      </c>
      <c r="B490" s="5">
        <v>45071.0</v>
      </c>
      <c r="C490" s="4" t="s">
        <v>16</v>
      </c>
      <c r="D490" s="4" t="s">
        <v>19</v>
      </c>
      <c r="E490" s="6">
        <v>8.0</v>
      </c>
      <c r="F490" s="7">
        <v>374.32</v>
      </c>
      <c r="G490" s="7">
        <v>74.2</v>
      </c>
      <c r="H490" s="6">
        <v>46.15</v>
      </c>
      <c r="I490" s="8">
        <f t="shared" si="1"/>
        <v>319.6536</v>
      </c>
      <c r="J490" s="8">
        <f t="shared" si="2"/>
        <v>2994.56</v>
      </c>
      <c r="K490" s="8">
        <f t="shared" si="3"/>
        <v>-2674.9064</v>
      </c>
      <c r="L490" s="9">
        <f t="shared" si="4"/>
        <v>-8.368141013</v>
      </c>
    </row>
    <row r="491" ht="22.5" customHeight="1">
      <c r="A491" s="4" t="s">
        <v>219</v>
      </c>
      <c r="B491" s="5">
        <v>44965.0</v>
      </c>
      <c r="C491" s="4" t="s">
        <v>24</v>
      </c>
      <c r="D491" s="4" t="s">
        <v>22</v>
      </c>
      <c r="E491" s="6">
        <v>82.0</v>
      </c>
      <c r="F491" s="7">
        <v>197.79</v>
      </c>
      <c r="G491" s="7">
        <v>35.93</v>
      </c>
      <c r="H491" s="6">
        <v>46.12</v>
      </c>
      <c r="I491" s="8">
        <f t="shared" si="1"/>
        <v>1587.444888</v>
      </c>
      <c r="J491" s="8">
        <f t="shared" si="2"/>
        <v>16218.78</v>
      </c>
      <c r="K491" s="8">
        <f t="shared" si="3"/>
        <v>-14631.33511</v>
      </c>
      <c r="L491" s="9">
        <f t="shared" si="4"/>
        <v>-9.216909023</v>
      </c>
    </row>
    <row r="492" ht="22.5" customHeight="1">
      <c r="A492" s="4" t="s">
        <v>117</v>
      </c>
      <c r="B492" s="5">
        <v>44995.0</v>
      </c>
      <c r="C492" s="4" t="s">
        <v>24</v>
      </c>
      <c r="D492" s="4" t="s">
        <v>17</v>
      </c>
      <c r="E492" s="6">
        <v>34.0</v>
      </c>
      <c r="F492" s="7">
        <v>457.99</v>
      </c>
      <c r="G492" s="7">
        <v>49.55</v>
      </c>
      <c r="H492" s="6">
        <v>10.38</v>
      </c>
      <c r="I492" s="8">
        <f t="shared" si="1"/>
        <v>1509.82814</v>
      </c>
      <c r="J492" s="8">
        <f t="shared" si="2"/>
        <v>15571.66</v>
      </c>
      <c r="K492" s="8">
        <f t="shared" si="3"/>
        <v>-14061.83186</v>
      </c>
      <c r="L492" s="9">
        <f t="shared" si="4"/>
        <v>-9.313531446</v>
      </c>
    </row>
    <row r="493" ht="22.5" customHeight="1">
      <c r="A493" s="4" t="s">
        <v>112</v>
      </c>
      <c r="B493" s="5">
        <v>45126.0</v>
      </c>
      <c r="C493" s="4" t="s">
        <v>21</v>
      </c>
      <c r="D493" s="4" t="s">
        <v>19</v>
      </c>
      <c r="E493" s="6">
        <v>77.0</v>
      </c>
      <c r="F493" s="7">
        <v>338.8</v>
      </c>
      <c r="G493" s="7">
        <v>39.66</v>
      </c>
      <c r="H493" s="6">
        <v>22.0</v>
      </c>
      <c r="I493" s="8">
        <f t="shared" si="1"/>
        <v>2381.9796</v>
      </c>
      <c r="J493" s="8">
        <f t="shared" si="2"/>
        <v>26087.6</v>
      </c>
      <c r="K493" s="8">
        <f t="shared" si="3"/>
        <v>-23705.6204</v>
      </c>
      <c r="L493" s="9">
        <f t="shared" si="4"/>
        <v>-9.952066928</v>
      </c>
    </row>
    <row r="494" ht="22.5" customHeight="1">
      <c r="A494" s="4" t="s">
        <v>117</v>
      </c>
      <c r="B494" s="5">
        <v>44930.0</v>
      </c>
      <c r="C494" s="4" t="s">
        <v>16</v>
      </c>
      <c r="D494" s="4" t="s">
        <v>19</v>
      </c>
      <c r="E494" s="6">
        <v>26.0</v>
      </c>
      <c r="F494" s="7">
        <v>389.74</v>
      </c>
      <c r="G494" s="7">
        <v>62.76</v>
      </c>
      <c r="H494" s="6">
        <v>47.74</v>
      </c>
      <c r="I494" s="8">
        <f t="shared" si="1"/>
        <v>852.757776</v>
      </c>
      <c r="J494" s="8">
        <f t="shared" si="2"/>
        <v>10133.24</v>
      </c>
      <c r="K494" s="8">
        <f t="shared" si="3"/>
        <v>-9280.482224</v>
      </c>
      <c r="L494" s="9">
        <f t="shared" si="4"/>
        <v>-10.88290542</v>
      </c>
    </row>
    <row r="495" ht="22.5" customHeight="1">
      <c r="A495" s="4" t="s">
        <v>405</v>
      </c>
      <c r="B495" s="5">
        <v>45112.0</v>
      </c>
      <c r="C495" s="4" t="s">
        <v>29</v>
      </c>
      <c r="D495" s="4" t="s">
        <v>19</v>
      </c>
      <c r="E495" s="6">
        <v>17.0</v>
      </c>
      <c r="F495" s="7">
        <v>209.67</v>
      </c>
      <c r="G495" s="7">
        <v>25.82</v>
      </c>
      <c r="H495" s="6">
        <v>34.08</v>
      </c>
      <c r="I495" s="8">
        <f t="shared" si="1"/>
        <v>289.349248</v>
      </c>
      <c r="J495" s="8">
        <f t="shared" si="2"/>
        <v>3564.39</v>
      </c>
      <c r="K495" s="8">
        <f t="shared" si="3"/>
        <v>-3275.040752</v>
      </c>
      <c r="L495" s="9">
        <f t="shared" si="4"/>
        <v>-11.31864269</v>
      </c>
    </row>
    <row r="496" ht="22.5" customHeight="1">
      <c r="A496" s="4" t="s">
        <v>406</v>
      </c>
      <c r="B496" s="5">
        <v>45043.0</v>
      </c>
      <c r="C496" s="4" t="s">
        <v>21</v>
      </c>
      <c r="D496" s="4" t="s">
        <v>17</v>
      </c>
      <c r="E496" s="6">
        <v>44.0</v>
      </c>
      <c r="F496" s="7">
        <v>409.29</v>
      </c>
      <c r="G496" s="7">
        <v>53.16</v>
      </c>
      <c r="H496" s="6">
        <v>38.84</v>
      </c>
      <c r="I496" s="8">
        <f t="shared" si="1"/>
        <v>1430.556864</v>
      </c>
      <c r="J496" s="8">
        <f t="shared" si="2"/>
        <v>18008.76</v>
      </c>
      <c r="K496" s="8">
        <f t="shared" si="3"/>
        <v>-16578.20314</v>
      </c>
      <c r="L496" s="9">
        <f t="shared" si="4"/>
        <v>-11.58863625</v>
      </c>
    </row>
    <row r="497" ht="22.5" customHeight="1">
      <c r="A497" s="4" t="s">
        <v>407</v>
      </c>
      <c r="B497" s="5">
        <v>45156.0</v>
      </c>
      <c r="C497" s="4" t="s">
        <v>16</v>
      </c>
      <c r="D497" s="4" t="s">
        <v>14</v>
      </c>
      <c r="E497" s="6">
        <v>49.0</v>
      </c>
      <c r="F497" s="7">
        <v>337.8</v>
      </c>
      <c r="G497" s="7">
        <v>27.91</v>
      </c>
      <c r="H497" s="6">
        <v>23.91</v>
      </c>
      <c r="I497" s="8">
        <f t="shared" si="1"/>
        <v>1040.599231</v>
      </c>
      <c r="J497" s="8">
        <f t="shared" si="2"/>
        <v>16552.2</v>
      </c>
      <c r="K497" s="8">
        <f t="shared" si="3"/>
        <v>-15511.60077</v>
      </c>
      <c r="L497" s="9">
        <f t="shared" si="4"/>
        <v>-14.90641191</v>
      </c>
    </row>
    <row r="498" ht="22.5" customHeight="1">
      <c r="A498" s="4" t="s">
        <v>290</v>
      </c>
      <c r="B498" s="5">
        <v>45090.0</v>
      </c>
      <c r="C498" s="4" t="s">
        <v>21</v>
      </c>
      <c r="D498" s="4" t="s">
        <v>22</v>
      </c>
      <c r="E498" s="6">
        <v>71.0</v>
      </c>
      <c r="F498" s="7">
        <v>328.58</v>
      </c>
      <c r="G498" s="7">
        <v>25.16</v>
      </c>
      <c r="H498" s="6">
        <v>40.26</v>
      </c>
      <c r="I498" s="8">
        <f t="shared" si="1"/>
        <v>1067.171464</v>
      </c>
      <c r="J498" s="8">
        <f t="shared" si="2"/>
        <v>23329.18</v>
      </c>
      <c r="K498" s="8">
        <f t="shared" si="3"/>
        <v>-22262.00854</v>
      </c>
      <c r="L498" s="9">
        <f t="shared" si="4"/>
        <v>-20.8607607</v>
      </c>
    </row>
    <row r="499" ht="22.5" customHeight="1">
      <c r="A499" s="4" t="s">
        <v>408</v>
      </c>
      <c r="B499" s="5">
        <v>45158.0</v>
      </c>
      <c r="C499" s="4" t="s">
        <v>16</v>
      </c>
      <c r="D499" s="4" t="s">
        <v>17</v>
      </c>
      <c r="E499" s="6">
        <v>89.0</v>
      </c>
      <c r="F499" s="7">
        <v>285.48</v>
      </c>
      <c r="G499" s="7">
        <v>17.15</v>
      </c>
      <c r="H499" s="6">
        <v>25.51</v>
      </c>
      <c r="I499" s="8">
        <f t="shared" si="1"/>
        <v>1136.978115</v>
      </c>
      <c r="J499" s="8">
        <f t="shared" si="2"/>
        <v>25407.72</v>
      </c>
      <c r="K499" s="8">
        <f t="shared" si="3"/>
        <v>-24270.74189</v>
      </c>
      <c r="L499" s="9">
        <f t="shared" si="4"/>
        <v>-21.34670981</v>
      </c>
    </row>
    <row r="500" ht="22.5" customHeight="1">
      <c r="A500" s="4" t="s">
        <v>409</v>
      </c>
      <c r="B500" s="5">
        <v>45191.0</v>
      </c>
      <c r="C500" s="4" t="s">
        <v>24</v>
      </c>
      <c r="D500" s="4" t="s">
        <v>22</v>
      </c>
      <c r="E500" s="6">
        <v>73.0</v>
      </c>
      <c r="F500" s="7">
        <v>373.93</v>
      </c>
      <c r="G500" s="7">
        <v>16.83</v>
      </c>
      <c r="H500" s="6">
        <v>44.35</v>
      </c>
      <c r="I500" s="8">
        <f t="shared" si="1"/>
        <v>683.710335</v>
      </c>
      <c r="J500" s="8">
        <f t="shared" si="2"/>
        <v>27296.89</v>
      </c>
      <c r="K500" s="8">
        <f t="shared" si="3"/>
        <v>-26613.17967</v>
      </c>
      <c r="L500" s="9">
        <f t="shared" si="4"/>
        <v>-38.92464148</v>
      </c>
    </row>
    <row r="501" ht="22.5" customHeight="1">
      <c r="A501" s="4" t="s">
        <v>410</v>
      </c>
      <c r="B501" s="5">
        <v>44935.0</v>
      </c>
      <c r="C501" s="4" t="s">
        <v>24</v>
      </c>
      <c r="D501" s="4" t="s">
        <v>19</v>
      </c>
      <c r="E501" s="6">
        <v>62.0</v>
      </c>
      <c r="F501" s="7">
        <v>402.12</v>
      </c>
      <c r="G501" s="7">
        <v>11.14</v>
      </c>
      <c r="H501" s="6">
        <v>18.33</v>
      </c>
      <c r="I501" s="8">
        <f t="shared" si="1"/>
        <v>564.078356</v>
      </c>
      <c r="J501" s="8">
        <f t="shared" si="2"/>
        <v>24931.44</v>
      </c>
      <c r="K501" s="8">
        <f t="shared" si="3"/>
        <v>-24367.36164</v>
      </c>
      <c r="L501" s="9">
        <f t="shared" si="4"/>
        <v>-43.19854039</v>
      </c>
    </row>
  </sheetData>
  <customSheetViews>
    <customSheetView guid="{3FEC46D3-6308-42B6-AD69-24AA1EF6E6C8}" filter="1" showAutoFilter="1">
      <autoFilter ref="$A$1:$L$501"/>
    </customSheetView>
  </customSheetViews>
  <dataValidations>
    <dataValidation type="custom" allowBlank="1" showDropDown="1" sqref="B2:B501">
      <formula1>OR(NOT(ISERROR(DATEVALUE(B2))), AND(ISNUMBER(B2), LEFT(CELL("format", B2))="D"))</formula1>
    </dataValidation>
    <dataValidation type="custom" allowBlank="1" showDropDown="1" sqref="L2:L501">
      <formula1>AND(ISNUMBER(L2),(NOT(OR(NOT(ISERROR(DATEVALUE(L2))), AND(ISNUMBER(L2), LEFT(CELL("format", L2))="D")))))</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4.13"/>
    <col customWidth="1" min="2" max="2" width="22.25"/>
    <col customWidth="1" min="3" max="3" width="19.25"/>
    <col customWidth="1" min="4" max="4" width="16.25"/>
    <col customWidth="1" min="5" max="5" width="12.88"/>
    <col customWidth="1" min="6" max="6" width="16.25"/>
    <col customWidth="1" min="7" max="7" width="12.88"/>
    <col customWidth="1" min="8" max="8" width="16.25"/>
    <col customWidth="1" min="9" max="9" width="12.88"/>
    <col customWidth="1" min="10" max="10" width="16.25"/>
    <col customWidth="1" min="11" max="11" width="12.88"/>
  </cols>
  <sheetData>
    <row r="1" ht="28.5" customHeight="1">
      <c r="A1" s="10" t="s">
        <v>411</v>
      </c>
      <c r="B1" s="11"/>
      <c r="C1" s="11"/>
      <c r="D1" s="11"/>
      <c r="E1" s="11"/>
      <c r="F1" s="11"/>
      <c r="G1" s="11"/>
      <c r="H1" s="11"/>
      <c r="I1" s="11"/>
      <c r="J1" s="11"/>
      <c r="K1" s="12"/>
    </row>
    <row r="2"/>
    <row r="3"/>
    <row r="4">
      <c r="N4" s="19"/>
    </row>
    <row r="5"/>
    <row r="6"/>
    <row r="7">
      <c r="N7" s="14"/>
    </row>
    <row r="8"/>
    <row r="9"/>
    <row r="10"/>
    <row r="12" ht="27.75" customHeight="1">
      <c r="A12" s="25" t="s">
        <v>416</v>
      </c>
      <c r="B12" s="11"/>
      <c r="C12" s="12"/>
      <c r="F12" s="26"/>
      <c r="G12" s="26"/>
      <c r="H12" s="26"/>
    </row>
    <row r="13"/>
    <row r="14"/>
    <row r="15"/>
    <row r="16"/>
    <row r="17"/>
    <row r="18"/>
    <row r="19"/>
    <row r="21" ht="21.75" customHeight="1">
      <c r="A21" s="27"/>
      <c r="B21" s="27"/>
      <c r="C21" s="27"/>
      <c r="D21" s="27"/>
    </row>
    <row r="22">
      <c r="C22" s="28" t="s">
        <v>419</v>
      </c>
      <c r="D22" s="12"/>
    </row>
    <row r="23">
      <c r="C23" s="29" t="s">
        <v>420</v>
      </c>
      <c r="D23" s="30" t="s">
        <v>415</v>
      </c>
    </row>
    <row r="24">
      <c r="C24" s="31" t="s">
        <v>49</v>
      </c>
      <c r="D24" s="32">
        <v>97633.77113000001</v>
      </c>
    </row>
    <row r="25">
      <c r="C25" s="31" t="s">
        <v>70</v>
      </c>
      <c r="D25" s="32">
        <v>71371.32660000001</v>
      </c>
    </row>
    <row r="26">
      <c r="C26" s="31" t="s">
        <v>43</v>
      </c>
      <c r="D26" s="32">
        <v>71322.38466400001</v>
      </c>
    </row>
    <row r="27">
      <c r="C27" s="31" t="s">
        <v>53</v>
      </c>
      <c r="D27" s="32">
        <v>67322.918187</v>
      </c>
    </row>
    <row r="28">
      <c r="C28" s="31" t="s">
        <v>20</v>
      </c>
      <c r="D28" s="32">
        <v>62889.490770000004</v>
      </c>
    </row>
    <row r="29">
      <c r="C29" s="31" t="s">
        <v>12</v>
      </c>
      <c r="D29" s="32">
        <v>62376.290373</v>
      </c>
    </row>
    <row r="30">
      <c r="C30" s="31" t="s">
        <v>25</v>
      </c>
      <c r="D30" s="32">
        <v>54402.889146</v>
      </c>
    </row>
    <row r="31">
      <c r="C31" s="31" t="s">
        <v>115</v>
      </c>
      <c r="D31" s="32">
        <v>54186.70439</v>
      </c>
    </row>
    <row r="32">
      <c r="C32" s="31" t="s">
        <v>30</v>
      </c>
      <c r="D32" s="32">
        <v>53550.787495000004</v>
      </c>
    </row>
    <row r="33">
      <c r="C33" s="31" t="s">
        <v>138</v>
      </c>
      <c r="D33" s="32">
        <v>51600.26165</v>
      </c>
    </row>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sheetData>
  <autoFilter ref="$A$22:$D$413"/>
  <mergeCells count="3">
    <mergeCell ref="A1:K1"/>
    <mergeCell ref="A12:C12"/>
    <mergeCell ref="C22:D22"/>
  </mergeCells>
  <drawing r:id="rId4"/>
  <extLst>
    <ext uri="{3A4CF648-6AED-40f4-86FF-DC5316D8AED3}">
      <x14:slicerList>
        <x14:slicer r:id="rId5"/>
      </x14:slicerList>
    </ext>
  </extLst>
</worksheet>
</file>